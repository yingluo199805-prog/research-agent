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16c26952f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02d0d8c6bbfe455a"/>
    <x:sheet xmlns:r="http://schemas.openxmlformats.org/officeDocument/2006/relationships" name="示例公司三表" sheetId="2" r:id="R1a5b1a4450744a7a"/>
    <x:sheet xmlns:r="http://schemas.openxmlformats.org/officeDocument/2006/relationships" name="示例公司附注底稿" sheetId="3" r:id="Rd3a8b94a6a494ddf"/>
    <x:sheet xmlns:r="http://schemas.openxmlformats.org/officeDocument/2006/relationships" name="收入分配拆分" sheetId="4" r:id="R6f821898866a46fe"/>
    <x:sheet xmlns:r="http://schemas.openxmlformats.org/officeDocument/2006/relationships" name="固定资产" sheetId="5" r:id="Ra7f1ce3c685f456f"/>
    <x:sheet xmlns:r="http://schemas.openxmlformats.org/officeDocument/2006/relationships" name="在建工程" sheetId="6" r:id="R2fe5c230786b4bd0"/>
    <x:sheet xmlns:r="http://schemas.openxmlformats.org/officeDocument/2006/relationships" name="无形资产" sheetId="7" r:id="R87797a97be41469c"/>
    <x:sheet xmlns:r="http://schemas.openxmlformats.org/officeDocument/2006/relationships" name="资本化研发" sheetId="8" r:id="Rc6788f6e5f8a4cc1"/>
    <x:sheet xmlns:r="http://schemas.openxmlformats.org/officeDocument/2006/relationships" name="政府补助分析" sheetId="9" r:id="Re4b2ac084d4a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;(#,##0);&quot;-&quot;"/>
    <x:numFmt numFmtId="201" formatCode="0.00"/>
    <x:numFmt numFmtId="202" formatCode="#,##0.00;(#,##0.00);0.00"/>
    <x:numFmt numFmtId="203" formatCode="#,##0"/>
    <x:numFmt numFmtId="204" formatCode="0.00;[Red](0.00);0.00"/>
    <x:numFmt numFmtId="205" formatCode="0.0%"/>
    <x:numFmt numFmtId="206" formatCode="0.0%;[Red](0.0%);0.0%"/>
    <x:numFmt numFmtId="207" formatCode="#,##0.0"/>
    <x:numFmt numFmtId="208" formatCode="0.00%"/>
    <x:numFmt numFmtId="209" formatCode="0"/>
    <x:numFmt numFmtId="210" formatCode="#,##0.00"/>
  </x:numFmts>
  <x:fonts count="18">
    <x:font>
      <x:sz val="11"/>
      <x:name val="Carlito"/>
    </x:font>
    <x:font>
      <x:sz val="10"/>
      <x:color rgb="FF000000"/>
      <x:name val="Microsoft YaHei"/>
    </x:font>
    <x:font>
      <x:sz val="9"/>
      <x:color rgb="FF666666"/>
      <x:name val="Microsoft YaHei"/>
    </x:font>
    <x:font>
      <x:b/>
      <x:sz val="14"/>
      <x:color rgb="FF1F4E78"/>
      <x:name val="Microsoft YaHei"/>
    </x:font>
    <x:font>
      <x:sz val="9"/>
      <x:color rgb="FF808080"/>
      <x:name val="Microsoft YaHei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b/>
      <x:sz val="10"/>
      <x:color rgb="FF1F4E78"/>
      <x:name val="Microsoft YaHei"/>
    </x:font>
    <x:font>
      <x:b/>
      <x:sz val="9"/>
      <x:color rgb="FF1F4E78"/>
      <x:name val="Microsoft YaHei"/>
    </x:font>
    <x:font>
      <x:sz val="9"/>
      <x:color rgb="FF000000"/>
      <x:name val="Microsoft YaHei"/>
    </x:font>
    <x:font>
      <x:sz val="9"/>
      <x:color rgb="FF555555"/>
      <x:name val="Microsoft YaHei"/>
    </x:font>
    <x:font>
      <x:b/>
      <x:sz val="10"/>
      <x:color rgb="FF000000"/>
      <x:name val="Microsoft YaHei"/>
    </x:font>
    <x:font>
      <x:b/>
      <x:sz val="9"/>
      <x:color rgb="FF666666"/>
      <x:name val="Microsoft YaHei"/>
    </x:font>
    <x:font>
      <x:b/>
      <x:sz val="10"/>
      <x:color rgb="FFFF0000"/>
      <x:name val="Microsoft YaHei"/>
    </x:font>
    <x:font>
      <x:sz val="10"/>
      <x:color rgb="FFC00000"/>
      <x:name val="Microsoft YaHei"/>
    </x:font>
    <x:font>
      <x:sz val="9"/>
      <x:color rgb="FFC00000"/>
      <x:name val="Microsoft YaHei"/>
    </x:font>
    <x:font>
      <x:b/>
      <x:sz val="18"/>
      <x:color rgb="FFFFFFFF"/>
      <x:name val="Microsoft YaHei"/>
    </x:font>
    <x:font>
      <x:b/>
      <x:sz val="11"/>
      <x:color rgb="FF1F4E78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E2EFDA"/>
      </x:patternFill>
    </x:fill>
    <x:fill>
      <x:patternFill patternType="solid">
        <x:fgColor rgb="FFFFE699"/>
      </x:patternFill>
    </x:fill>
    <x:fill>
      <x:patternFill patternType="solid">
        <x:fgColor rgb="FFF2DCDB"/>
      </x:patternFill>
    </x:fill>
    <x:fill>
      <x:patternFill patternType="solid">
        <x:fgColor rgb="FFFFFF00"/>
      </x:patternFill>
    </x:fill>
    <x:fill>
      <x:patternFill patternType="solid">
        <x:fgColor rgb="FFDBE5F1"/>
      </x:patternFill>
    </x:fill>
    <x:fill>
      <x:patternFill patternType="solid">
        <x:fgColor rgb="FF365F91"/>
      </x:patternFill>
    </x:fill>
    <x:fill>
      <x:patternFill patternType="solid">
        <x:fgColor rgb="FFD6E4F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20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9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horizontal="center" vertical="center"/>
    </x:xf>
    <x:xf numFmtId="204" fontId="11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vertical="center"/>
    </x:xf>
    <x:xf numFmtId="204" fontId="1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vertical="center"/>
    </x:xf>
    <x:xf numFmtId="204" fontId="11" fillId="0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 applyAlignment="1">
      <x:alignment vertical="center"/>
    </x:xf>
    <x:xf numFmtId="204" fontId="13" fillId="7" borderId="0" xfId="0" applyNumberFormat="1" applyFont="1" applyFill="1" applyBorder="1" applyAlignment="1">
      <x:alignment horizontal="center" vertical="center"/>
    </x:xf>
    <x:xf numFmtId="204" fontId="11" fillId="7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horizontal="center" vertical="center"/>
    </x:xf>
    <x:xf numFmtId="205" fontId="13" fillId="0" borderId="0" xfId="0" applyNumberFormat="1" applyFont="1" applyFill="1" applyBorder="1" applyAlignment="1">
      <x:alignment horizontal="center" vertical="center"/>
    </x:xf>
    <x:xf numFmtId="206" fontId="13" fillId="0" borderId="0" xfId="0" applyNumberFormat="1" applyFont="1" applyFill="1" applyBorder="1" applyAlignment="1">
      <x:alignment horizontal="center" vertical="center"/>
    </x:xf>
    <x:xf numFmtId="205" fontId="11" fillId="0" borderId="0" xfId="0" applyNumberFormat="1" applyFont="1" applyFill="1" applyBorder="1" applyAlignment="1">
      <x:alignment horizontal="center" vertical="center"/>
    </x:xf>
    <x:xf numFmtId="206" fontId="11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horizontal="center" vertical="center"/>
    </x:xf>
    <x:xf numFmtId="205" fontId="14" fillId="0" borderId="0" xfId="0" applyNumberFormat="1" applyFont="1" applyFill="1" applyBorder="1" applyAlignment="1">
      <x:alignment horizontal="center" vertical="center"/>
    </x:xf>
    <x:xf numFmtId="205" fontId="14" fillId="7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4" fontId="10" fillId="0" borderId="0" xfId="0" applyNumberFormat="1" applyFont="1" applyFill="1" applyBorder="1" applyAlignment="1">
      <x:alignment horizontal="center" vertical="center"/>
    </x:xf>
    <x:xf numFmtId="204" fontId="10" fillId="0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horizontal="right" vertical="center"/>
    </x:xf>
    <x:xf numFmtId="0" fontId="15" fillId="0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horizontal="right" vertical="center"/>
    </x:xf>
    <x:xf numFmtId="205" fontId="14" fillId="0" borderId="0" xfId="0" applyNumberFormat="1" applyFont="1" applyFill="1" applyBorder="1" applyAlignment="1">
      <x:alignment horizontal="right" vertical="center"/>
    </x:xf>
    <x:xf numFmtId="208" fontId="14" fillId="0" borderId="0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horizontal="right" vertical="center"/>
    </x:xf>
    <x:xf numFmtId="0" fontId="16" fillId="9" borderId="0" xfId="0" applyNumberFormat="1" applyFont="1" applyFill="1" applyBorder="1" applyAlignment="1">
      <x:alignment vertical="center"/>
    </x:xf>
    <x:xf numFmtId="200" fontId="16" fillId="9" borderId="0" xfId="0" applyNumberFormat="1" applyFont="1" applyFill="1" applyBorder="1" applyAlignment="1">
      <x:alignment horizontal="right" vertical="center"/>
    </x:xf>
    <x:xf numFmtId="0" fontId="16" fillId="9" borderId="0" xfId="0" applyNumberFormat="1" applyFont="1" applyFill="1" applyBorder="1" applyAlignment="1">
      <x:alignment horizontal="center" vertical="center"/>
    </x:xf>
    <x:xf numFmtId="200" fontId="16" fillId="9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0" fontId="1" fillId="10" borderId="0" xfId="0" applyNumberFormat="1" applyFont="1" applyFill="1" applyBorder="1" applyAlignment="1">
      <x:alignment horizontal="right" vertical="center"/>
    </x:xf>
    <x:xf numFmtId="0" fontId="11" fillId="10" borderId="0" xfId="0" applyNumberFormat="1" applyFont="1" applyFill="1" applyBorder="1" applyAlignment="1">
      <x:alignment vertical="center"/>
    </x:xf>
    <x:xf numFmtId="200" fontId="11" fillId="10" borderId="0" xfId="0" applyNumberFormat="1" applyFont="1" applyFill="1" applyBorder="1" applyAlignment="1">
      <x:alignment horizontal="right" vertical="center"/>
    </x:xf>
    <x:xf numFmtId="201" fontId="11" fillId="10" borderId="0" xfId="0" applyNumberFormat="1" applyFont="1" applyFill="1" applyBorder="1" applyAlignment="1">
      <x:alignment horizontal="right" vertical="center"/>
    </x:xf>
    <x:xf numFmtId="209" fontId="5" fillId="2" borderId="0" xfId="0" applyNumberFormat="1" applyFont="1" applyFill="1" applyBorder="1" applyAlignment="1">
      <x:alignment horizontal="center" vertical="center"/>
    </x:xf>
    <x:xf numFmtId="210" fontId="11" fillId="10" borderId="0" xfId="0" applyNumberFormat="1" applyFont="1" applyFill="1" applyBorder="1" applyAlignment="1">
      <x:alignment horizontal="right" vertical="center"/>
    </x:xf>
    <x:xf numFmtId="21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de00cac1c4abb" /><Relationship Type="http://schemas.openxmlformats.org/officeDocument/2006/relationships/theme" Target="/xl/theme/theme1.xml" Id="R9b282d1eebec4d3b" /><Relationship Type="http://schemas.openxmlformats.org/officeDocument/2006/relationships/sharedStrings" Target="/xl/sharedStrings.xml" Id="R1a6fc103c5c246fd" /><Relationship Type="http://schemas.openxmlformats.org/officeDocument/2006/relationships/worksheet" Target="/xl/worksheets/sheet1.xml" Id="R02d0d8c6bbfe455a" /><Relationship Type="http://schemas.openxmlformats.org/officeDocument/2006/relationships/worksheet" Target="/xl/worksheets/sheet2.xml" Id="R1a5b1a4450744a7a" /><Relationship Type="http://schemas.openxmlformats.org/officeDocument/2006/relationships/worksheet" Target="/xl/worksheets/sheet3.xml" Id="Rd3a8b94a6a494ddf" /><Relationship Type="http://schemas.openxmlformats.org/officeDocument/2006/relationships/worksheet" Target="/xl/worksheets/sheet4.xml" Id="R6f821898866a46fe" /><Relationship Type="http://schemas.openxmlformats.org/officeDocument/2006/relationships/worksheet" Target="/xl/worksheets/sheet5.xml" Id="Ra7f1ce3c685f456f" /><Relationship Type="http://schemas.openxmlformats.org/officeDocument/2006/relationships/worksheet" Target="/xl/worksheets/sheet6.xml" Id="R2fe5c230786b4bd0" /><Relationship Type="http://schemas.openxmlformats.org/officeDocument/2006/relationships/worksheet" Target="/xl/worksheets/sheet7.xml" Id="R87797a97be41469c" /><Relationship Type="http://schemas.openxmlformats.org/officeDocument/2006/relationships/worksheet" Target="/xl/worksheets/sheet8.xml" Id="Rc6788f6e5f8a4cc1" /><Relationship Type="http://schemas.openxmlformats.org/officeDocument/2006/relationships/worksheet" Target="/xl/worksheets/sheet9.xml" Id="Re4b2ac084d4a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</sheetPr>
  <sheetViews>
    <sheetView showGridLines="0" workbookViewId="0"/>
  </sheetViews>
  <sheetFormatPr defaultRowHeight="15"/>
  <cols>
    <col min="4" max="4" width="13.829999923706055" hidden="0" customWidth="1"/>
    <col min="5" max="5" width="13.829999923706055" hidden="0" customWidth="1"/>
    <col min="6" max="6" width="13.829999923706055" hidden="0" customWidth="1"/>
    <col min="7" max="7" width="13.829999923706055" hidden="0" customWidth="1"/>
    <col min="8" max="8" width="13.829999923706055" hidden="0" customWidth="1"/>
    <col min="9" max="9" width="13.829999923706055" hidden="0" customWidth="1"/>
    <col min="10" max="10" width="13.829999923706055" hidden="0" customWidth="1"/>
    <col min="11" max="11" width="13.829999923706055" hidden="0" customWidth="1"/>
    <col min="12" max="12" width="13.829999923706055" hidden="0" customWidth="1"/>
    <col min="13" max="13" width="13.829999923706055" hidden="0" customWidth="1"/>
    <col min="1" max="1" width="2.6600000858306885" hidden="0" customWidth="1"/>
    <col min="2" max="2" width="48" hidden="0" customWidth="1"/>
    <col min="3" max="3" width="23" hidden="0" customWidth="1"/>
  </cols>
  <sheetData>
    <row r="1" ht="26" customHeight="1">
      <c r="A1" s="2"/>
      <c r="B1" s="7" t="str">
        <v>公司财报拆分表达模板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</row>
    <row r="2" ht="17" customHeight="1">
      <c r="A2" s="2"/>
      <c r="B2" s="10" t="str">
        <v>收入分配采用比亚迪模型五段结构；附注表按公司实际披露类别调整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ht="17" customHeight="1">
      <c r="A3" s="2"/>
      <c r="B3" s="10" t="str">
        <v>只含布局和公式，未保留参考模型或双环的财务数值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ht="15.5" customHeight="1">
      <c r="A4" s="2"/>
      <c r="B4" s="2" t="str"/>
      <c r="C4" s="6"/>
      <c r="D4" s="4"/>
      <c r="E4" s="4"/>
      <c r="F4" s="4"/>
      <c r="G4" s="4"/>
      <c r="H4" s="4"/>
      <c r="I4" s="4"/>
      <c r="J4" s="4"/>
      <c r="K4" s="4"/>
      <c r="L4" s="4"/>
      <c r="M4" s="4"/>
    </row>
    <row r="5" ht="22" customHeight="1">
      <c r="A5" s="2"/>
      <c r="B5" s="19" t="str">
        <v>工作表</v>
      </c>
      <c r="C5" s="20" t="str">
        <v>说明</v>
      </c>
      <c r="D5" s="21"/>
      <c r="E5" s="21"/>
      <c r="F5" s="21"/>
      <c r="G5" s="21"/>
      <c r="H5" s="21"/>
      <c r="I5" s="21"/>
      <c r="J5" s="21"/>
      <c r="K5" s="21"/>
      <c r="L5" s="21"/>
      <c r="M5" s="21"/>
    </row>
    <row r="6" ht="15.5" customHeight="1">
      <c r="A6" s="2"/>
      <c r="B6" s="2" t="str">
        <v>示例公司三表</v>
      </c>
      <c r="C6" s="6" t="str">
        <v>按原始年报填写并复核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ht="15.5" customHeight="1">
      <c r="A7" s="2"/>
      <c r="B7" s="2" t="str">
        <v>示例公司附注底稿</v>
      </c>
      <c r="C7" s="6" t="str">
        <v>按原始年报填写并复核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ht="15.5" customHeight="1">
      <c r="A8" s="2"/>
      <c r="B8" s="2" t="str">
        <v>收入分配拆分</v>
      </c>
      <c r="C8" s="6" t="str">
        <v>按原始年报填写并复核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ht="15.5" customHeight="1">
      <c r="A9" s="2"/>
      <c r="B9" s="2" t="str">
        <v>固定资产</v>
      </c>
      <c r="C9" s="6" t="str">
        <v>按原始年报填写并复核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ht="15.5" customHeight="1">
      <c r="A10" s="2"/>
      <c r="B10" s="2" t="str">
        <v>在建工程</v>
      </c>
      <c r="C10" s="6" t="str">
        <v>按原始年报填写并复核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5.5" customHeight="1">
      <c r="A11" s="2"/>
      <c r="B11" s="2" t="str">
        <v>无形资产</v>
      </c>
      <c r="C11" s="6" t="str">
        <v>按原始年报填写并复核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5.5" customHeight="1">
      <c r="A12" s="2"/>
      <c r="B12" s="2" t="str">
        <v>资本化研发</v>
      </c>
      <c r="C12" s="6" t="str">
        <v>按原始年报填写并复核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5.5" customHeight="1">
      <c r="A13" s="2"/>
      <c r="B13" s="2" t="str">
        <v>政府补助分析</v>
      </c>
      <c r="C13" s="6" t="str">
        <v>按原始年报填写并复核</v>
      </c>
      <c r="D13" s="4"/>
      <c r="E13" s="4"/>
      <c r="F13" s="4"/>
      <c r="G13" s="4"/>
      <c r="H13" s="4"/>
      <c r="I13" s="4"/>
      <c r="J13" s="4"/>
      <c r="K13" s="4"/>
      <c r="L13" s="4"/>
      <c r="M13" s="4"/>
    </row>
  </sheetData>
  <mergeCells>
    <mergeCell ref="B1:M1"/>
    <mergeCell ref="B2:M2"/>
    <mergeCell ref="B3:M3"/>
  </mergeCells>
  <hyperlinks>
    <hyperlink ref="B6" location="'示例公司三表'!A1"/>
    <hyperlink ref="B7" location="'示例公司附注底稿'!A1"/>
    <hyperlink ref="B8" location="'收入分配拆分'!A1"/>
    <hyperlink ref="B9" location="'固定资产'!A1"/>
    <hyperlink ref="B10" location="'在建工程'!A1"/>
    <hyperlink ref="B11" location="'无形资产'!A1"/>
    <hyperlink ref="B12" location="'资本化研发'!A1"/>
    <hyperlink ref="B13" location="'政府补助分析'!A1"/>
  </hyperlink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1" max="1" width="2.6600000858306885" hidden="0" customWidth="1"/>
    <x:col min="2" max="2" width="48" hidden="0" customWidth="1"/>
    <x:col min="3" max="3" width="23" hidden="0" customWidth="1"/>
  </x:cols>
  <x:sheetData>
    <x:row r="1" ht="26" customHeight="1">
      <x:c r="A1" s="2"/>
      <x:c r="B1" s="7" t="str">
        <x:v>示例公司合并三表及 iFinD 复核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2010A</x:v>
      </x:c>
      <x:c r="E5" s="21" t="str">
        <x:v>2011A</x:v>
      </x:c>
      <x:c r="F5" s="21" t="str">
        <x:v>2012A</x:v>
      </x:c>
      <x:c r="G5" s="21" t="str">
        <x:v>2013A</x:v>
      </x:c>
      <x:c r="H5" s="21" t="str">
        <x:v>2014A</x:v>
      </x:c>
      <x:c r="I5" s="21" t="str">
        <x:v>2015A</x:v>
      </x:c>
      <x:c r="J5" s="21" t="str">
        <x:v>2016A</x:v>
      </x:c>
      <x:c r="K5" s="21" t="str">
        <x:v>2017A</x:v>
      </x:c>
      <x:c r="L5" s="21" t="str">
        <x:v>2018A</x:v>
      </x:c>
      <x:c r="M5" s="21" t="str">
        <x:v>2019A</x:v>
      </x:c>
      <x:c r="N5" s="21" t="str">
        <x:v>2020A</x:v>
      </x:c>
      <x:c r="O5" s="21" t="str">
        <x:v>2021A</x:v>
      </x:c>
      <x:c r="P5" s="21" t="str">
        <x:v>2022A</x:v>
      </x:c>
      <x:c r="Q5" s="21" t="str">
        <x:v>2023A</x:v>
      </x:c>
      <x:c r="R5" s="21" t="str">
        <x:v>2024A</x:v>
      </x:c>
      <x:c r="S5" s="21" t="str">
        <x:v>2025A</x:v>
      </x:c>
    </x:row>
    <x:row r="6" ht="21" customHeight="1">
      <x:c r="A6" s="2"/>
      <x:c r="B6" s="25" t="str">
        <x:v>一、合并利润表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</x:row>
    <x:row r="7" ht="15.5" customHeight="1">
      <x:c r="A7" s="2"/>
      <x:c r="B7" s="2" t="str">
        <x:v>营业总收入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 ht="15.5" customHeight="1">
      <x:c r="A8" s="2"/>
      <x:c r="B8" s="2" t="str">
        <x:v>营业收入</x:v>
      </x:c>
      <x:c r="C8" s="6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 ht="15.5" customHeight="1">
      <x:c r="A9" s="2"/>
      <x:c r="B9" s="2" t="str">
        <x:v>利息收入</x:v>
      </x:c>
      <x:c r="C9" s="6" t="str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</x:row>
    <x:row r="10" ht="15.5" customHeight="1">
      <x:c r="A10" s="2"/>
      <x:c r="B10" s="2" t="str">
        <x:v>手续费及佣金收入</x:v>
      </x:c>
      <x:c r="C10" s="6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</x:row>
    <x:row r="11" ht="15.5" customHeight="1">
      <x:c r="A11" s="2"/>
      <x:c r="B11" s="2" t="str">
        <x:v>营业总成本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</x:row>
    <x:row r="12" ht="15.5" customHeight="1">
      <x:c r="A12" s="2"/>
      <x:c r="B12" s="2" t="str">
        <x:v>营业成本</x:v>
      </x:c>
      <x:c r="C12" s="6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</x:row>
    <x:row r="13" ht="15.5" customHeight="1">
      <x:c r="A13" s="2"/>
      <x:c r="B13" s="2" t="str">
        <x:v>利息支出</x:v>
      </x:c>
      <x:c r="C13" s="6" t="str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 ht="15.5" customHeight="1">
      <x:c r="A14" s="2"/>
      <x:c r="B14" s="2" t="str">
        <x:v>手续费及佣金支出</x:v>
      </x:c>
      <x:c r="C14" s="6" t="str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 ht="15.5" customHeight="1">
      <x:c r="A15" s="2"/>
      <x:c r="B15" s="2" t="str">
        <x:v>赔付支出净额</x:v>
      </x:c>
      <x:c r="C15" s="6" t="str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 ht="15.5" customHeight="1">
      <x:c r="A16" s="2"/>
      <x:c r="B16" s="2" t="str">
        <x:v>提取保险责任合同准备金净额</x:v>
      </x:c>
      <x:c r="C16" s="6" t="str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</x:row>
    <x:row r="17" ht="15.5" customHeight="1">
      <x:c r="A17" s="2"/>
      <x:c r="B17" s="2" t="str">
        <x:v>保单红利支出</x:v>
      </x:c>
      <x:c r="C17" s="6" t="str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</x:row>
    <x:row r="18" ht="15.5" customHeight="1">
      <x:c r="A18" s="2"/>
      <x:c r="B18" s="2" t="str">
        <x:v>分保费用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</x:row>
    <x:row r="19" ht="15.5" customHeight="1">
      <x:c r="A19" s="2"/>
      <x:c r="B19" s="2" t="str">
        <x:v>税金及附加</x:v>
      </x:c>
      <x:c r="C19" s="6" t="str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</x:row>
    <x:row r="20" ht="15.5" customHeight="1">
      <x:c r="A20" s="2"/>
      <x:c r="B20" s="2" t="str">
        <x:v>销售费用</x:v>
      </x:c>
      <x:c r="C20" s="6" t="str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</x:row>
    <x:row r="21" ht="15.5" customHeight="1">
      <x:c r="A21" s="2"/>
      <x:c r="B21" s="2" t="str">
        <x:v>管理费用</x:v>
      </x:c>
      <x:c r="C21" s="6" t="str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</x:row>
    <x:row r="22" ht="15.5" customHeight="1">
      <x:c r="A22" s="2"/>
      <x:c r="B22" s="2" t="str">
        <x:v>研发费用</x:v>
      </x:c>
      <x:c r="C22" s="6" t="str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</x:row>
    <x:row r="23" ht="15.5" customHeight="1">
      <x:c r="A23" s="2"/>
      <x:c r="B23" s="2" t="str">
        <x:v>财务费用</x:v>
      </x:c>
      <x:c r="C23" s="6" t="str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</x:row>
    <x:row r="24" ht="15.5" customHeight="1">
      <x:c r="A24" s="2"/>
      <x:c r="B24" s="2" t="str">
        <x:v>利息费用</x:v>
      </x:c>
      <x:c r="C24" s="6" t="str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</x:row>
    <x:row r="25" ht="15.5" customHeight="1">
      <x:c r="A25" s="2"/>
      <x:c r="B25" s="2" t="str">
        <x:v>其他收益</x:v>
      </x:c>
      <x:c r="C25" s="6" t="str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 ht="15.5" customHeight="1">
      <x:c r="A26" s="2"/>
      <x:c r="B26" s="2" t="str">
        <x:v>投资收益</x:v>
      </x:c>
      <x:c r="C26" s="6" t="str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</x:row>
    <x:row r="27" ht="15.5" customHeight="1">
      <x:c r="A27" s="2"/>
      <x:c r="B27" s="2" t="str">
        <x:v>对联营企业和合营企业的投资收益</x:v>
      </x:c>
      <x:c r="C27" s="6" t="str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</x:row>
    <x:row r="28" ht="15.5" customHeight="1">
      <x:c r="A28" s="2"/>
      <x:c r="B28" s="2" t="str">
        <x:v>以摊余成本计量的金融资产终止确认收益</x:v>
      </x:c>
      <x:c r="C28" s="6" t="str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</x:row>
    <x:row r="29" ht="15.5" customHeight="1">
      <x:c r="A29" s="2"/>
      <x:c r="B29" s="2" t="str">
        <x:v>汇兑收益</x:v>
      </x:c>
      <x:c r="C29" s="6" t="str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</x:row>
    <x:row r="30" ht="15.5" customHeight="1">
      <x:c r="A30" s="2"/>
      <x:c r="B30" s="2" t="str">
        <x:v>净敞口套期收益</x:v>
      </x:c>
      <x:c r="C30" s="6" t="str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</x:row>
    <x:row r="31" ht="15.5" customHeight="1">
      <x:c r="A31" s="2"/>
      <x:c r="B31" s="2" t="str">
        <x:v>公允价值变动收益</x:v>
      </x:c>
      <x:c r="C31" s="6" t="str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</x:row>
    <x:row r="32" ht="15.5" customHeight="1">
      <x:c r="A32" s="2"/>
      <x:c r="B32" s="2" t="str">
        <x:v>信用减值损失</x:v>
      </x:c>
      <x:c r="C32" s="6" t="str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</x:row>
    <x:row r="33" ht="15.5" customHeight="1">
      <x:c r="A33" s="2"/>
      <x:c r="B33" s="2" t="str">
        <x:v>资产减值损失</x:v>
      </x:c>
      <x:c r="C33" s="6" t="str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</x:row>
    <x:row r="34" ht="15.5" customHeight="1">
      <x:c r="A34" s="2"/>
      <x:c r="B34" s="2" t="str">
        <x:v>资产处置收益</x:v>
      </x:c>
      <x:c r="C34" s="6" t="str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</x:row>
    <x:row r="35" ht="15.5" customHeight="1">
      <x:c r="A35" s="2"/>
      <x:c r="B35" s="2" t="str">
        <x:v>营业利润</x:v>
      </x:c>
      <x:c r="C35" s="6" t="str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</x:row>
    <x:row r="36" ht="15.5" customHeight="1">
      <x:c r="A36" s="2"/>
      <x:c r="B36" s="2" t="str">
        <x:v>营业外收入</x:v>
      </x:c>
      <x:c r="C36" s="6" t="str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</x:row>
    <x:row r="37" ht="15.5" customHeight="1">
      <x:c r="A37" s="2"/>
      <x:c r="B37" s="2" t="str">
        <x:v>营业外支出</x:v>
      </x:c>
      <x:c r="C37" s="6" t="str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</x:row>
    <x:row r="38" ht="15.5" customHeight="1">
      <x:c r="A38" s="2"/>
      <x:c r="B38" s="2" t="str">
        <x:v>利润总额</x:v>
      </x:c>
      <x:c r="C38" s="6" t="str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</x:row>
    <x:row r="39" ht="15.5" customHeight="1">
      <x:c r="A39" s="2"/>
      <x:c r="B39" s="2" t="str">
        <x:v>所得税费用</x:v>
      </x:c>
      <x:c r="C39" s="6" t="str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</x:row>
    <x:row r="40" ht="15.5" customHeight="1">
      <x:c r="A40" s="2"/>
      <x:c r="B40" s="2" t="str">
        <x:v>净利润</x:v>
      </x:c>
      <x:c r="C40" s="6" t="str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</x:row>
    <x:row r="41" ht="15.5" customHeight="1">
      <x:c r="A41" s="2"/>
      <x:c r="B41" s="2" t="str">
        <x:v>持续经营净利润</x:v>
      </x:c>
      <x:c r="C41" s="6" t="str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</x:row>
    <x:row r="42" ht="15.5" customHeight="1">
      <x:c r="A42" s="2"/>
      <x:c r="B42" s="2" t="str">
        <x:v>终止经营净利润</x:v>
      </x:c>
      <x:c r="C42" s="6" t="str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</x:row>
    <x:row r="43" ht="15.5" customHeight="1">
      <x:c r="A43" s="2"/>
      <x:c r="B43" s="2" t="str">
        <x:v>归属于母公司股东的净利润</x:v>
      </x:c>
      <x:c r="C43" s="6" t="str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</x:row>
    <x:row r="44" ht="15.5" customHeight="1">
      <x:c r="A44" s="2"/>
      <x:c r="B44" s="2" t="str">
        <x:v>少数股东损益</x:v>
      </x:c>
      <x:c r="C44" s="6" t="str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</x:row>
    <x:row r="45" ht="15.5" customHeight="1">
      <x:c r="A45" s="2"/>
      <x:c r="B45" s="2" t="str">
        <x:v>其他综合收益的税后净额</x:v>
      </x:c>
      <x:c r="C45" s="6" t="str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</x:row>
    <x:row r="46" ht="15.5" customHeight="1">
      <x:c r="A46" s="2"/>
      <x:c r="B46" s="2" t="str">
        <x:v>归属母公司股东的其他综合收益的税后净额</x:v>
      </x:c>
      <x:c r="C46" s="6" t="str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</x:row>
    <x:row r="47" ht="15.5" customHeight="1">
      <x:c r="A47" s="2"/>
      <x:c r="B47" s="2" t="str">
        <x:v>不能重分类进损益的其他综合收益</x:v>
      </x:c>
      <x:c r="C47" s="6" t="str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</x:row>
    <x:row r="48" ht="15.5" customHeight="1">
      <x:c r="A48" s="2"/>
      <x:c r="B48" s="2" t="str">
        <x:v>权益法下不能转损益的其他综合收益</x:v>
      </x:c>
      <x:c r="C48" s="6" t="str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</x:row>
    <x:row r="49" ht="15.5" customHeight="1">
      <x:c r="A49" s="2"/>
      <x:c r="B49" s="2" t="str">
        <x:v>其他权益工具投资公允价值变动</x:v>
      </x:c>
      <x:c r="C49" s="6" t="str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</x:row>
    <x:row r="50" ht="15.5" customHeight="1">
      <x:c r="A50" s="2"/>
      <x:c r="B50" s="2" t="str">
        <x:v>将重分类进损益的其他综合收益</x:v>
      </x:c>
      <x:c r="C50" s="6" t="str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</x:row>
    <x:row r="51" ht="15.5" customHeight="1">
      <x:c r="A51" s="2"/>
      <x:c r="B51" s="2" t="str">
        <x:v>权益法下可转损益的其他综合收益</x:v>
      </x:c>
      <x:c r="C51" s="6" t="str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</x:row>
    <x:row r="52" ht="15.5" customHeight="1">
      <x:c r="A52" s="2"/>
      <x:c r="B52" s="2" t="str">
        <x:v>金融资产重分类计入其他综合收益的金额</x:v>
      </x:c>
      <x:c r="C52" s="6" t="str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</x:row>
    <x:row r="53" ht="15.5" customHeight="1">
      <x:c r="A53" s="2"/>
      <x:c r="B53" s="2" t="str">
        <x:v>其他债权投资信用减值准备</x:v>
      </x:c>
      <x:c r="C53" s="6" t="str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</x:row>
    <x:row r="54" ht="15.5" customHeight="1">
      <x:c r="A54" s="2"/>
      <x:c r="B54" s="2" t="str">
        <x:v>现金流量套期储备</x:v>
      </x:c>
      <x:c r="C54" s="6" t="str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</x:row>
    <x:row r="55" ht="15.5" customHeight="1">
      <x:c r="A55" s="2"/>
      <x:c r="B55" s="2" t="str">
        <x:v>外币财务报表折算差额</x:v>
      </x:c>
      <x:c r="C55" s="6" t="str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</x:row>
    <x:row r="56" ht="15.5" customHeight="1">
      <x:c r="A56" s="2"/>
      <x:c r="B56" s="2" t="str">
        <x:v>归属于少数股东的其他综合收益的税后净额</x:v>
      </x:c>
      <x:c r="C56" s="6" t="str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</x:row>
    <x:row r="57" ht="15.5" customHeight="1">
      <x:c r="A57" s="2"/>
      <x:c r="B57" s="2" t="str">
        <x:v>综合收益总额</x:v>
      </x:c>
      <x:c r="C57" s="6" t="str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</x:row>
    <x:row r="58" ht="15.5" customHeight="1">
      <x:c r="A58" s="2"/>
      <x:c r="B58" s="2" t="str">
        <x:v>归属于母公司股东的综合收益总额</x:v>
      </x:c>
      <x:c r="C58" s="6" t="str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</x:row>
    <x:row r="59" ht="15.5" customHeight="1">
      <x:c r="A59" s="2"/>
      <x:c r="B59" s="2" t="str">
        <x:v>归属于少数股东的综合收益总额</x:v>
      </x:c>
      <x:c r="C59" s="6" t="str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</x:row>
    <x:row r="60" ht="15.5" customHeight="1">
      <x:c r="A60" s="2"/>
      <x:c r="B60" s="2" t="str">
        <x:v>基本每股收益</x:v>
      </x:c>
      <x:c r="C60" s="6" t="str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</x:row>
    <x:row r="61" ht="15.5" customHeight="1">
      <x:c r="A61" s="2"/>
      <x:c r="B61" s="2" t="str">
        <x:v>稀释每股收益</x:v>
      </x:c>
      <x:c r="C61" s="6" t="str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</x:row>
    <x:row r="62" ht="15.5" customHeight="1">
      <x:c r="A62" s="2"/>
      <x:c r="B62" s="2" t="str">
        <x:v>其他债权投资公允价值变动</x:v>
      </x:c>
      <x:c r="C62" s="6" t="str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</x:row>
    <x:row r="63" ht="15.5" customHeight="1">
      <x:c r="A63" s="2"/>
      <x:c r="B63" s="2" t="str">
        <x:v>可供出售金融资产公允价值变动损益</x:v>
      </x:c>
      <x:c r="C63" s="6" t="str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</x:row>
    <x:row r="64" ht="15.5" customHeight="1">
      <x:c r="A64" s="2"/>
      <x:c r="B64" s="2" t="str">
        <x:v>持有至到期投资重分类为可供出售金融资产损益</x:v>
      </x:c>
      <x:c r="C64" s="6" t="str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</x:row>
    <x:row r="65" ht="15.5" customHeight="1">
      <x:c r="A65" s="2"/>
      <x:c r="B65" s="2" t="str">
        <x:v>提取保险合同准备金净额</x:v>
      </x:c>
      <x:c r="C65" s="6" t="str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</x:row>
    <x:row r="66" ht="15.5" customHeight="1">
      <x:c r="A66" s="2"/>
      <x:c r="B66" s="2" t="str">
        <x:v>现金流量套期损益的有效部分</x:v>
      </x:c>
      <x:c r="C66" s="6" t="str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</x:row>
    <x:row r="67" ht="15.5" customHeight="1">
      <x:c r="A67" s="2"/>
      <x:c r="B67" s="2" t="str">
        <x:v>以后不能重分类进损益的其他综合收益</x:v>
      </x:c>
      <x:c r="C67" s="6" t="str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</x:row>
    <x:row r="68" ht="15.5" customHeight="1">
      <x:c r="A68" s="2"/>
      <x:c r="B68" s="2" t="str">
        <x:v>重新计量设定受益计划净负债或净资产的变动</x:v>
      </x:c>
      <x:c r="C68" s="6" t="str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</x:row>
    <x:row r="69" ht="15.5" customHeight="1">
      <x:c r="A69" s="2"/>
      <x:c r="B69" s="2" t="str">
        <x:v>以后将重分类进损益的其他综合收益</x:v>
      </x:c>
      <x:c r="C69" s="6" t="str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</x:row>
    <x:row r="70" ht="15.5" customHeight="1">
      <x:c r="A70" s="2"/>
      <x:c r="B70" s="2" t="str">
        <x:v>非流动资产处置利得</x:v>
      </x:c>
      <x:c r="C70" s="6" t="str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</x:row>
    <x:row r="71" ht="15.5" customHeight="1">
      <x:c r="A71" s="2"/>
      <x:c r="B71" s="2" t="str">
        <x:v>非流动资产处置损失</x:v>
      </x:c>
      <x:c r="C71" s="6" t="str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</x:row>
    <x:row r="72" ht="15.5" customHeight="1">
      <x:c r="A72" s="2"/>
      <x:c r="B72" s="2" t="str">
        <x:v>被合并方在合并前实现的净利润</x:v>
      </x:c>
      <x:c r="C72" s="6" t="str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</x:row>
    <x:row r="73" ht="21" customHeight="1">
      <x:c r="A73" s="2"/>
      <x:c r="B73" s="25" t="str">
        <x:v>二、合并资产负债表</x:v>
      </x:c>
      <x:c r="C73" s="26" t="str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</x:row>
    <x:row r="74" ht="15.5" customHeight="1">
      <x:c r="A74" s="2"/>
      <x:c r="B74" s="2" t="str">
        <x:v>货币资金</x:v>
      </x:c>
      <x:c r="C74" s="6" t="str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</x:row>
    <x:row r="75" ht="15.5" customHeight="1">
      <x:c r="A75" s="2"/>
      <x:c r="B75" s="2" t="str">
        <x:v>交易性金融资产</x:v>
      </x:c>
      <x:c r="C75" s="6" t="str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</x:row>
    <x:row r="76" ht="15.5" customHeight="1">
      <x:c r="A76" s="2"/>
      <x:c r="B76" s="2" t="str">
        <x:v>衍生金融资产</x:v>
      </x:c>
      <x:c r="C76" s="6" t="str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</x:row>
    <x:row r="77" ht="15.5" customHeight="1">
      <x:c r="A77" s="2"/>
      <x:c r="B77" s="2" t="str">
        <x:v>应收票据</x:v>
      </x:c>
      <x:c r="C77" s="6" t="str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</x:row>
    <x:row r="78" ht="15.5" customHeight="1">
      <x:c r="A78" s="2"/>
      <x:c r="B78" s="2" t="str">
        <x:v>应收账款</x:v>
      </x:c>
      <x:c r="C78" s="6" t="str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</x:row>
    <x:row r="79" ht="15.5" customHeight="1">
      <x:c r="A79" s="2"/>
      <x:c r="B79" s="2" t="str">
        <x:v>应收款项融资</x:v>
      </x:c>
      <x:c r="C79" s="6" t="str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</x:row>
    <x:row r="80" ht="15.5" customHeight="1">
      <x:c r="A80" s="2"/>
      <x:c r="B80" s="2" t="str">
        <x:v>预付款项</x:v>
      </x:c>
      <x:c r="C80" s="6" t="str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</x:row>
    <x:row r="81" ht="15.5" customHeight="1">
      <x:c r="A81" s="2"/>
      <x:c r="B81" s="2" t="str">
        <x:v>应收分保合同准备金</x:v>
      </x:c>
      <x:c r="C81" s="6" t="str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</x:row>
    <x:row r="82" ht="15.5" customHeight="1">
      <x:c r="A82" s="2"/>
      <x:c r="B82" s="2" t="str">
        <x:v>其他应收款</x:v>
      </x:c>
      <x:c r="C82" s="6" t="str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</x:row>
    <x:row r="83" ht="15.5" customHeight="1">
      <x:c r="A83" s="2"/>
      <x:c r="B83" s="2" t="str">
        <x:v>应收股利</x:v>
      </x:c>
      <x:c r="C83" s="6" t="str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</x:row>
    <x:row r="84" ht="15.5" customHeight="1">
      <x:c r="A84" s="2"/>
      <x:c r="B84" s="2" t="str">
        <x:v>买入返售金融资产</x:v>
      </x:c>
      <x:c r="C84" s="6" t="str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</x:row>
    <x:row r="85" ht="15.5" customHeight="1">
      <x:c r="A85" s="2"/>
      <x:c r="B85" s="2" t="str">
        <x:v>存货</x:v>
      </x:c>
      <x:c r="C85" s="6" t="str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</x:row>
    <x:row r="86" ht="15.5" customHeight="1">
      <x:c r="A86" s="2"/>
      <x:c r="B86" s="2" t="str">
        <x:v>合同资产</x:v>
      </x:c>
      <x:c r="C86" s="6" t="str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</x:row>
    <x:row r="87" ht="15.5" customHeight="1">
      <x:c r="A87" s="2"/>
      <x:c r="B87" s="2" t="str">
        <x:v>持有待售资产</x:v>
      </x:c>
      <x:c r="C87" s="6" t="str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</x:row>
    <x:row r="88" ht="15.5" customHeight="1">
      <x:c r="A88" s="2"/>
      <x:c r="B88" s="2" t="str">
        <x:v>一年内到期的非流动资产</x:v>
      </x:c>
      <x:c r="C88" s="6" t="str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</x:row>
    <x:row r="89" ht="15.5" customHeight="1">
      <x:c r="A89" s="2"/>
      <x:c r="B89" s="2" t="str">
        <x:v>其他流动资产</x:v>
      </x:c>
      <x:c r="C89" s="6" t="str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</x:row>
    <x:row r="90" ht="15.5" customHeight="1">
      <x:c r="A90" s="2"/>
      <x:c r="B90" s="2" t="str">
        <x:v>流动资产合计</x:v>
      </x:c>
      <x:c r="C90" s="6" t="str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</x:row>
    <x:row r="91" ht="15.5" customHeight="1">
      <x:c r="A91" s="2"/>
      <x:c r="B91" s="2" t="str">
        <x:v>长期股权投资</x:v>
      </x:c>
      <x:c r="C91" s="6" t="str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</x:row>
    <x:row r="92" ht="15.5" customHeight="1">
      <x:c r="A92" s="2"/>
      <x:c r="B92" s="2" t="str">
        <x:v>其他权益工具投资</x:v>
      </x:c>
      <x:c r="C92" s="6" t="str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</x:row>
    <x:row r="93" ht="15.5" customHeight="1">
      <x:c r="A93" s="2"/>
      <x:c r="B93" s="2" t="str">
        <x:v>其他非流动金融资产</x:v>
      </x:c>
      <x:c r="C93" s="6" t="str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</x:row>
    <x:row r="94" ht="15.5" customHeight="1">
      <x:c r="A94" s="2"/>
      <x:c r="B94" s="2" t="str">
        <x:v>固定资产</x:v>
      </x:c>
      <x:c r="C94" s="6" t="str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</x:row>
    <x:row r="95" ht="15.5" customHeight="1">
      <x:c r="A95" s="2"/>
      <x:c r="B95" s="2" t="str">
        <x:v>在建工程</x:v>
      </x:c>
      <x:c r="C95" s="6" t="str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</x:row>
    <x:row r="96" ht="15.5" customHeight="1">
      <x:c r="A96" s="2"/>
      <x:c r="B96" s="2" t="str">
        <x:v>生产性生物资产</x:v>
      </x:c>
      <x:c r="C96" s="6" t="str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</x:row>
    <x:row r="97" ht="15.5" customHeight="1">
      <x:c r="A97" s="2"/>
      <x:c r="B97" s="2" t="str">
        <x:v>油气资产</x:v>
      </x:c>
      <x:c r="C97" s="6" t="str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</x:row>
    <x:row r="98" ht="15.5" customHeight="1">
      <x:c r="A98" s="2"/>
      <x:c r="B98" s="2" t="str">
        <x:v>使用权资产</x:v>
      </x:c>
      <x:c r="C98" s="6" t="str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</x:row>
    <x:row r="99" ht="15.5" customHeight="1">
      <x:c r="A99" s="2"/>
      <x:c r="B99" s="2" t="str">
        <x:v>无形资产</x:v>
      </x:c>
      <x:c r="C99" s="6" t="str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</x:row>
    <x:row r="100" ht="15.5" customHeight="1">
      <x:c r="A100" s="2"/>
      <x:c r="B100" s="2" t="str">
        <x:v>开发支出</x:v>
      </x:c>
      <x:c r="C100" s="6" t="str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</x:row>
    <x:row r="101" ht="15.5" customHeight="1">
      <x:c r="A101" s="2"/>
      <x:c r="B101" s="2" t="str">
        <x:v>商誉</x:v>
      </x:c>
      <x:c r="C101" s="6" t="str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</x:row>
    <x:row r="102" ht="15.5" customHeight="1">
      <x:c r="A102" s="2"/>
      <x:c r="B102" s="2" t="str">
        <x:v>长期待摊费用</x:v>
      </x:c>
      <x:c r="C102" s="6" t="str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</x:row>
    <x:row r="103" ht="15.5" customHeight="1">
      <x:c r="A103" s="2"/>
      <x:c r="B103" s="2" t="str">
        <x:v>递延所得税资产</x:v>
      </x:c>
      <x:c r="C103" s="6" t="str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</x:row>
    <x:row r="104" ht="15.5" customHeight="1">
      <x:c r="A104" s="2"/>
      <x:c r="B104" s="2" t="str">
        <x:v>其他非流动资产</x:v>
      </x:c>
      <x:c r="C104" s="6" t="str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</x:row>
    <x:row r="105" ht="15.5" customHeight="1">
      <x:c r="A105" s="2"/>
      <x:c r="B105" s="2" t="str">
        <x:v>非流动资产合计</x:v>
      </x:c>
      <x:c r="C105" s="6" t="str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</x:row>
    <x:row r="106" ht="15.5" customHeight="1">
      <x:c r="A106" s="2"/>
      <x:c r="B106" s="2" t="str">
        <x:v>资产总计</x:v>
      </x:c>
      <x:c r="C106" s="6" t="str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</x:row>
    <x:row r="107" ht="15.5" customHeight="1">
      <x:c r="A107" s="2"/>
      <x:c r="B107" s="2" t="str">
        <x:v>短期借款</x:v>
      </x:c>
      <x:c r="C107" s="6" t="str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</x:row>
    <x:row r="108" ht="15.5" customHeight="1">
      <x:c r="A108" s="2"/>
      <x:c r="B108" s="2" t="str">
        <x:v>交易性金融负债</x:v>
      </x:c>
      <x:c r="C108" s="6" t="str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</x:row>
    <x:row r="109" ht="15.5" customHeight="1">
      <x:c r="A109" s="2"/>
      <x:c r="B109" s="2" t="str">
        <x:v>衍生金融负债</x:v>
      </x:c>
      <x:c r="C109" s="6" t="str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</x:row>
    <x:row r="110" ht="15.5" customHeight="1">
      <x:c r="A110" s="2"/>
      <x:c r="B110" s="2" t="str">
        <x:v>应付票据</x:v>
      </x:c>
      <x:c r="C110" s="6" t="str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</x:row>
    <x:row r="111" ht="15.5" customHeight="1">
      <x:c r="A111" s="2"/>
      <x:c r="B111" s="2" t="str">
        <x:v>应付账款</x:v>
      </x:c>
      <x:c r="C111" s="6" t="str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</x:row>
    <x:row r="112" ht="15.5" customHeight="1">
      <x:c r="A112" s="2"/>
      <x:c r="B112" s="2" t="str">
        <x:v>预收款项</x:v>
      </x:c>
      <x:c r="C112" s="6" t="str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</x:row>
    <x:row r="113" ht="15.5" customHeight="1">
      <x:c r="A113" s="2"/>
      <x:c r="B113" s="2" t="str">
        <x:v>合同负债</x:v>
      </x:c>
      <x:c r="C113" s="6" t="str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</x:row>
    <x:row r="114" ht="15.5" customHeight="1">
      <x:c r="A114" s="2"/>
      <x:c r="B114" s="2" t="str">
        <x:v>卖出回购金融资产款</x:v>
      </x:c>
      <x:c r="C114" s="6" t="str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</x:row>
    <x:row r="115" ht="15.5" customHeight="1">
      <x:c r="A115" s="2"/>
      <x:c r="B115" s="2" t="str">
        <x:v>应付职工薪酬</x:v>
      </x:c>
      <x:c r="C115" s="6" t="str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</x:row>
    <x:row r="116" ht="15.5" customHeight="1">
      <x:c r="A116" s="2"/>
      <x:c r="B116" s="2" t="str">
        <x:v>应交税费</x:v>
      </x:c>
      <x:c r="C116" s="6" t="str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</x:row>
    <x:row r="117" ht="15.5" customHeight="1">
      <x:c r="A117" s="2"/>
      <x:c r="B117" s="2" t="str">
        <x:v>其他应付款</x:v>
      </x:c>
      <x:c r="C117" s="6" t="str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</x:row>
    <x:row r="118" ht="15.5" customHeight="1">
      <x:c r="A118" s="2"/>
      <x:c r="B118" s="2" t="str">
        <x:v>应付股利</x:v>
      </x:c>
      <x:c r="C118" s="6" t="str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</x:row>
    <x:row r="119" ht="15.5" customHeight="1">
      <x:c r="A119" s="2"/>
      <x:c r="B119" s="2" t="str">
        <x:v>持有待售负债</x:v>
      </x:c>
      <x:c r="C119" s="6" t="str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</x:row>
    <x:row r="120" ht="15.5" customHeight="1">
      <x:c r="A120" s="2"/>
      <x:c r="B120" s="2" t="str">
        <x:v>一年内到期的非流动负债</x:v>
      </x:c>
      <x:c r="C120" s="6" t="str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</x:row>
    <x:row r="121" ht="15.5" customHeight="1">
      <x:c r="A121" s="2"/>
      <x:c r="B121" s="2" t="str">
        <x:v>其他流动负债</x:v>
      </x:c>
      <x:c r="C121" s="6" t="str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</x:row>
    <x:row r="122" ht="15.5" customHeight="1">
      <x:c r="A122" s="2"/>
      <x:c r="B122" s="2" t="str">
        <x:v>流动负债合计</x:v>
      </x:c>
      <x:c r="C122" s="6" t="str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</x:row>
    <x:row r="123" ht="15.5" customHeight="1">
      <x:c r="A123" s="2"/>
      <x:c r="B123" s="2" t="str">
        <x:v>保险合同准备金</x:v>
      </x:c>
      <x:c r="C123" s="6" t="str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</x:row>
    <x:row r="124" ht="15.5" customHeight="1">
      <x:c r="A124" s="2"/>
      <x:c r="B124" s="2" t="str">
        <x:v>长期借款</x:v>
      </x:c>
      <x:c r="C124" s="6" t="str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</x:row>
    <x:row r="125" ht="15.5" customHeight="1">
      <x:c r="A125" s="2"/>
      <x:c r="B125" s="2" t="str">
        <x:v>租赁负债</x:v>
      </x:c>
      <x:c r="C125" s="6" t="str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</x:row>
    <x:row r="126" ht="15.5" customHeight="1">
      <x:c r="A126" s="2"/>
      <x:c r="B126" s="2" t="str">
        <x:v>预计负债</x:v>
      </x:c>
      <x:c r="C126" s="6" t="str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</x:row>
    <x:row r="127" ht="15.5" customHeight="1">
      <x:c r="A127" s="2"/>
      <x:c r="B127" s="2" t="str">
        <x:v>递延收益</x:v>
      </x:c>
      <x:c r="C127" s="6" t="str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</x:row>
    <x:row r="128" ht="15.5" customHeight="1">
      <x:c r="A128" s="2"/>
      <x:c r="B128" s="2" t="str">
        <x:v>递延所得税负债</x:v>
      </x:c>
      <x:c r="C128" s="6" t="str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</x:row>
    <x:row r="129" ht="15.5" customHeight="1">
      <x:c r="A129" s="2"/>
      <x:c r="B129" s="2" t="str">
        <x:v>其他非流动负债</x:v>
      </x:c>
      <x:c r="C129" s="6" t="str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</x:row>
    <x:row r="130" ht="15.5" customHeight="1">
      <x:c r="A130" s="2"/>
      <x:c r="B130" s="2" t="str">
        <x:v>非流动负债合计</x:v>
      </x:c>
      <x:c r="C130" s="6" t="str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</x:row>
    <x:row r="131" ht="15.5" customHeight="1">
      <x:c r="A131" s="2"/>
      <x:c r="B131" s="2" t="str">
        <x:v>负债合计</x:v>
      </x:c>
      <x:c r="C131" s="6" t="str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</x:row>
    <x:row r="132" ht="15.5" customHeight="1">
      <x:c r="A132" s="2"/>
      <x:c r="B132" s="2" t="str">
        <x:v>股本</x:v>
      </x:c>
      <x:c r="C132" s="6" t="str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</x:row>
    <x:row r="133" ht="15.5" customHeight="1">
      <x:c r="A133" s="2"/>
      <x:c r="B133" s="2" t="str">
        <x:v>其他权益工具</x:v>
      </x:c>
      <x:c r="C133" s="6" t="str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</x:row>
    <x:row r="134" ht="15.5" customHeight="1">
      <x:c r="A134" s="2"/>
      <x:c r="B134" s="2" t="str">
        <x:v>资本公积</x:v>
      </x:c>
      <x:c r="C134" s="6" t="str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</x:row>
    <x:row r="135" ht="15.5" customHeight="1">
      <x:c r="A135" s="2"/>
      <x:c r="B135" s="2" t="str">
        <x:v>库存股</x:v>
      </x:c>
      <x:c r="C135" s="6" t="str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</x:row>
    <x:row r="136" ht="15.5" customHeight="1">
      <x:c r="A136" s="2"/>
      <x:c r="B136" s="2" t="str">
        <x:v>其他综合收益</x:v>
      </x:c>
      <x:c r="C136" s="6" t="str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</x:row>
    <x:row r="137" ht="15.5" customHeight="1">
      <x:c r="A137" s="2"/>
      <x:c r="B137" s="2" t="str">
        <x:v>盈余公积</x:v>
      </x:c>
      <x:c r="C137" s="6" t="str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</x:row>
    <x:row r="138" ht="15.5" customHeight="1">
      <x:c r="A138" s="2"/>
      <x:c r="B138" s="2" t="str">
        <x:v>一般风险准备</x:v>
      </x:c>
      <x:c r="C138" s="6" t="str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</x:row>
    <x:row r="139" ht="15.5" customHeight="1">
      <x:c r="A139" s="2"/>
      <x:c r="B139" s="2" t="str">
        <x:v>未分配利润</x:v>
      </x:c>
      <x:c r="C139" s="6" t="str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</x:row>
    <x:row r="140" ht="15.5" customHeight="1">
      <x:c r="A140" s="2"/>
      <x:c r="B140" s="2" t="str">
        <x:v>归属于母公司股东权益合计</x:v>
      </x:c>
      <x:c r="C140" s="6" t="str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</x:row>
    <x:row r="141" ht="15.5" customHeight="1">
      <x:c r="A141" s="2"/>
      <x:c r="B141" s="2" t="str">
        <x:v>少数股东权益</x:v>
      </x:c>
      <x:c r="C141" s="6" t="str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</x:row>
    <x:row r="142" ht="15.5" customHeight="1">
      <x:c r="A142" s="2"/>
      <x:c r="B142" s="2" t="str">
        <x:v>所有者权益合计</x:v>
      </x:c>
      <x:c r="C142" s="6" t="str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</x:row>
    <x:row r="143" ht="15.5" customHeight="1">
      <x:c r="A143" s="2"/>
      <x:c r="B143" s="2" t="str">
        <x:v>负债和所有者权益总计</x:v>
      </x:c>
      <x:c r="C143" s="6" t="str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</x:row>
    <x:row r="144" ht="15.5" customHeight="1">
      <x:c r="A144" s="2"/>
      <x:c r="B144" s="2" t="str">
        <x:v>长期应付款</x:v>
      </x:c>
      <x:c r="C144" s="6" t="str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</x:row>
    <x:row r="145" ht="15.5" customHeight="1">
      <x:c r="A145" s="2"/>
      <x:c r="B145" s="2" t="str">
        <x:v>应付债券</x:v>
      </x:c>
      <x:c r="C145" s="6" t="str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</x:row>
    <x:row r="146" ht="15.5" customHeight="1">
      <x:c r="A146" s="2"/>
      <x:c r="B146" s="2" t="str">
        <x:v>以公允价值计量且其变动计入当期损益的金融资产</x:v>
      </x:c>
      <x:c r="C146" s="6" t="str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</x:row>
    <x:row r="147" ht="15.5" customHeight="1">
      <x:c r="A147" s="2"/>
      <x:c r="B147" s="2" t="str">
        <x:v>可供出售金融资产</x:v>
      </x:c>
      <x:c r="C147" s="6" t="str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</x:row>
    <x:row r="148" ht="15.5" customHeight="1">
      <x:c r="A148" s="2"/>
      <x:c r="B148" s="2" t="str">
        <x:v>以公允价值计量且其变动计入当期损益的金融负债</x:v>
      </x:c>
      <x:c r="C148" s="6" t="str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</x:row>
    <x:row r="149" ht="15.5" customHeight="1">
      <x:c r="A149" s="2"/>
      <x:c r="B149" s="2" t="str">
        <x:v>应付利息</x:v>
      </x:c>
      <x:c r="C149" s="6" t="str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</x:row>
    <x:row r="150" ht="15.5" customHeight="1">
      <x:c r="A150" s="2"/>
      <x:c r="B150" s="2" t="str">
        <x:v>应收票据及应收账款</x:v>
      </x:c>
      <x:c r="C150" s="6" t="str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</x:row>
    <x:row r="151" ht="15.5" customHeight="1">
      <x:c r="A151" s="2"/>
      <x:c r="B151" s="2" t="str">
        <x:v>应付票据及应付账款</x:v>
      </x:c>
      <x:c r="C151" s="6" t="str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</x:row>
    <x:row r="152" ht="15.5" customHeight="1">
      <x:c r="A152" s="2"/>
      <x:c r="B152" s="2" t="str">
        <x:v>持有待售的资产</x:v>
      </x:c>
      <x:c r="C152" s="6" t="str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</x:row>
    <x:row r="153" ht="15.5" customHeight="1">
      <x:c r="A153" s="2"/>
      <x:c r="B153" s="2" t="str">
        <x:v>固定资产清理</x:v>
      </x:c>
      <x:c r="C153" s="6" t="str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</x:row>
    <x:row r="154" ht="15.5" customHeight="1">
      <x:c r="A154" s="2"/>
      <x:c r="B154" s="2" t="str">
        <x:v>持有待售的负债</x:v>
      </x:c>
      <x:c r="C154" s="6" t="str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</x:row>
    <x:row r="155" ht="15.5" customHeight="1">
      <x:c r="A155" s="2"/>
      <x:c r="B155" s="2" t="str">
        <x:v>划分为持有待售的资产</x:v>
      </x:c>
      <x:c r="C155" s="6" t="str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</x:row>
    <x:row r="156" ht="15.5" customHeight="1">
      <x:c r="A156" s="2"/>
      <x:c r="B156" s="2" t="str">
        <x:v>划分为持有待售的负债</x:v>
      </x:c>
      <x:c r="C156" s="6" t="str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</x:row>
    <x:row r="157" ht="15.5" customHeight="1">
      <x:c r="A157" s="2"/>
      <x:c r="B157" s="2" t="str">
        <x:v>实收资本（或股本）</x:v>
      </x:c>
      <x:c r="C157" s="6" t="str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</x:row>
    <x:row r="158" ht="15.5" customHeight="1">
      <x:c r="A158" s="2"/>
      <x:c r="B158" s="2" t="str">
        <x:v>所有者权益（或股东权益）合计</x:v>
      </x:c>
      <x:c r="C158" s="6" t="str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</x:row>
    <x:row r="159" ht="15.5" customHeight="1">
      <x:c r="A159" s="2"/>
      <x:c r="B159" s="2" t="str">
        <x:v>负债和所有者权益（或股东权益）总计</x:v>
      </x:c>
      <x:c r="C159" s="6" t="str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</x:row>
    <x:row r="160" ht="15.5" customHeight="1">
      <x:c r="A160" s="2"/>
      <x:c r="B160" s="2" t="str">
        <x:v>资产</x:v>
      </x:c>
      <x:c r="C160" s="6" t="str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</x:row>
    <x:row r="161" ht="15.5" customHeight="1">
      <x:c r="A161" s="2"/>
      <x:c r="B161" s="2" t="str">
        <x:v>负债和所有者权益</x:v>
      </x:c>
      <x:c r="C161" s="6" t="str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</x:row>
    <x:row r="162" ht="21" customHeight="1">
      <x:c r="A162" s="2"/>
      <x:c r="B162" s="25" t="str">
        <x:v>三、合并现金流量表</x:v>
      </x:c>
      <x:c r="C162" s="26" t="str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</x:row>
    <x:row r="163" ht="15.5" customHeight="1">
      <x:c r="A163" s="2"/>
      <x:c r="B163" s="2" t="str">
        <x:v>销售商品、提供劳务收到的现金</x:v>
      </x:c>
      <x:c r="C163" s="6" t="str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</x:row>
    <x:row r="164" ht="15.5" customHeight="1">
      <x:c r="A164" s="2"/>
      <x:c r="B164" s="2" t="str">
        <x:v>客户存款和同业存放款项净增加额</x:v>
      </x:c>
      <x:c r="C164" s="6" t="str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</x:row>
    <x:row r="165" ht="15.5" customHeight="1">
      <x:c r="A165" s="2"/>
      <x:c r="B165" s="2" t="str">
        <x:v>收到原保险合同保费取得的现金</x:v>
      </x:c>
      <x:c r="C165" s="6" t="str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</x:row>
    <x:row r="166" ht="15.5" customHeight="1">
      <x:c r="A166" s="2"/>
      <x:c r="B166" s="2" t="str">
        <x:v>收到再保业务现金净额</x:v>
      </x:c>
      <x:c r="C166" s="6" t="str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</x:row>
    <x:row r="167" ht="15.5" customHeight="1">
      <x:c r="A167" s="2"/>
      <x:c r="B167" s="2" t="str">
        <x:v>收取利息、手续费及佣金的现金</x:v>
      </x:c>
      <x:c r="C167" s="6" t="str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</x:row>
    <x:row r="168" ht="15.5" customHeight="1">
      <x:c r="A168" s="2"/>
      <x:c r="B168" s="2" t="str">
        <x:v>代理买卖证券收到的现金净额</x:v>
      </x:c>
      <x:c r="C168" s="6" t="str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</x:row>
    <x:row r="169" ht="15.5" customHeight="1">
      <x:c r="A169" s="2"/>
      <x:c r="B169" s="2" t="str">
        <x:v>收到的税费返还</x:v>
      </x:c>
      <x:c r="C169" s="6" t="str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</x:row>
    <x:row r="170" ht="15.5" customHeight="1">
      <x:c r="A170" s="2"/>
      <x:c r="B170" s="2" t="str">
        <x:v>收到其他与经营活动有关的现金</x:v>
      </x:c>
      <x:c r="C170" s="6" t="str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</x:row>
    <x:row r="171" ht="15.5" customHeight="1">
      <x:c r="A171" s="2"/>
      <x:c r="B171" s="2" t="str">
        <x:v>经营活动现金流入小计</x:v>
      </x:c>
      <x:c r="C171" s="6" t="str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</x:row>
    <x:row r="172" ht="15.5" customHeight="1">
      <x:c r="A172" s="2"/>
      <x:c r="B172" s="2" t="str">
        <x:v>购买商品、接受劳务支付的现金</x:v>
      </x:c>
      <x:c r="C172" s="6" t="str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</x:row>
    <x:row r="173" ht="15.5" customHeight="1">
      <x:c r="A173" s="2"/>
      <x:c r="B173" s="2" t="str">
        <x:v>存放中央银行和同业款项净增加额</x:v>
      </x:c>
      <x:c r="C173" s="6" t="str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</x:row>
    <x:row r="174" ht="15.5" customHeight="1">
      <x:c r="A174" s="2"/>
      <x:c r="B174" s="2" t="str">
        <x:v>支付原保险合同赔付款项的现金</x:v>
      </x:c>
      <x:c r="C174" s="6" t="str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</x:row>
    <x:row r="175" ht="15.5" customHeight="1">
      <x:c r="A175" s="2"/>
      <x:c r="B175" s="2" t="str">
        <x:v>支付利息、手续费及佣金的现金</x:v>
      </x:c>
      <x:c r="C175" s="6" t="str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</x:row>
    <x:row r="176" ht="15.5" customHeight="1">
      <x:c r="A176" s="2"/>
      <x:c r="B176" s="2" t="str">
        <x:v>支付保单红利的现金</x:v>
      </x:c>
      <x:c r="C176" s="6" t="str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</x:row>
    <x:row r="177" ht="15.5" customHeight="1">
      <x:c r="A177" s="2"/>
      <x:c r="B177" s="2" t="str">
        <x:v>支付给职工以及为职工支付的现金</x:v>
      </x:c>
      <x:c r="C177" s="6" t="str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</x:row>
    <x:row r="178" ht="15.5" customHeight="1">
      <x:c r="A178" s="2"/>
      <x:c r="B178" s="2" t="str">
        <x:v>支付的各项税费</x:v>
      </x:c>
      <x:c r="C178" s="6" t="str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</x:row>
    <x:row r="179" ht="15.5" customHeight="1">
      <x:c r="A179" s="2"/>
      <x:c r="B179" s="2" t="str">
        <x:v>支付其他与经营活动有关的现金</x:v>
      </x:c>
      <x:c r="C179" s="6" t="str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</x:row>
    <x:row r="180" ht="15.5" customHeight="1">
      <x:c r="A180" s="2"/>
      <x:c r="B180" s="2" t="str">
        <x:v>经营活动现金流出小计</x:v>
      </x:c>
      <x:c r="C180" s="6" t="str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</x:row>
    <x:row r="181" ht="15.5" customHeight="1">
      <x:c r="A181" s="2"/>
      <x:c r="B181" s="2" t="str">
        <x:v>经营活动产生的现金流量净额</x:v>
      </x:c>
      <x:c r="C181" s="6" t="str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</x:row>
    <x:row r="182" ht="15.5" customHeight="1">
      <x:c r="A182" s="2"/>
      <x:c r="B182" s="2" t="str">
        <x:v>收回投资收到的现金</x:v>
      </x:c>
      <x:c r="C182" s="6" t="str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</x:row>
    <x:row r="183" ht="15.5" customHeight="1">
      <x:c r="A183" s="2"/>
      <x:c r="B183" s="2" t="str">
        <x:v>取得投资收益收到的现金</x:v>
      </x:c>
      <x:c r="C183" s="6" t="str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</x:row>
    <x:row r="184" ht="15.5" customHeight="1">
      <x:c r="A184" s="2"/>
      <x:c r="B184" s="2" t="str">
        <x:v>处置固定资产、无形资产和其他长期资产收回的现金净额</x:v>
      </x:c>
      <x:c r="C184" s="6" t="str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</x:row>
    <x:row r="185" ht="15.5" customHeight="1">
      <x:c r="A185" s="2"/>
      <x:c r="B185" s="2" t="str">
        <x:v>收到其他与投资活动有关的现金</x:v>
      </x:c>
      <x:c r="C185" s="6" t="str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</x:row>
    <x:row r="186" ht="15.5" customHeight="1">
      <x:c r="A186" s="2"/>
      <x:c r="B186" s="2" t="str">
        <x:v>投资活动现金流入小计</x:v>
      </x:c>
      <x:c r="C186" s="6" t="str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</x:row>
    <x:row r="187" ht="15.5" customHeight="1">
      <x:c r="A187" s="2"/>
      <x:c r="B187" s="2" t="str">
        <x:v>购建固定资产、无形资产和其他长期资产支付的现金</x:v>
      </x:c>
      <x:c r="C187" s="6" t="str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</x:row>
    <x:row r="188" ht="15.5" customHeight="1">
      <x:c r="A188" s="2"/>
      <x:c r="B188" s="2" t="str">
        <x:v>投资支付的现金</x:v>
      </x:c>
      <x:c r="C188" s="6" t="str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</x:row>
    <x:row r="189" ht="15.5" customHeight="1">
      <x:c r="A189" s="2"/>
      <x:c r="B189" s="2" t="str">
        <x:v>支付其他与投资活动有关的现金</x:v>
      </x:c>
      <x:c r="C189" s="6" t="str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</x:row>
    <x:row r="190" ht="15.5" customHeight="1">
      <x:c r="A190" s="2"/>
      <x:c r="B190" s="2" t="str">
        <x:v>投资活动现金流出小计</x:v>
      </x:c>
      <x:c r="C190" s="6" t="str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</x:row>
    <x:row r="191" ht="15.5" customHeight="1">
      <x:c r="A191" s="2"/>
      <x:c r="B191" s="2" t="str">
        <x:v>投资活动产生的现金流量净额</x:v>
      </x:c>
      <x:c r="C191" s="6" t="str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</x:row>
    <x:row r="192" ht="15.5" customHeight="1">
      <x:c r="A192" s="2"/>
      <x:c r="B192" s="2" t="str">
        <x:v>吸收投资收到的现金</x:v>
      </x:c>
      <x:c r="C192" s="6" t="str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</x:row>
    <x:row r="193" ht="15.5" customHeight="1">
      <x:c r="A193" s="2"/>
      <x:c r="B193" s="2" t="str">
        <x:v>子公司吸收少数股东投资收到的现金</x:v>
      </x:c>
      <x:c r="C193" s="6" t="str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</x:row>
    <x:row r="194" ht="15.5" customHeight="1">
      <x:c r="A194" s="2"/>
      <x:c r="B194" s="2" t="str">
        <x:v>取得借款收到的现金</x:v>
      </x:c>
      <x:c r="C194" s="6" t="str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</x:row>
    <x:row r="195" ht="15.5" customHeight="1">
      <x:c r="A195" s="2"/>
      <x:c r="B195" s="2" t="str">
        <x:v>收到其他与筹资活动有关的现金</x:v>
      </x:c>
      <x:c r="C195" s="6" t="str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</x:row>
    <x:row r="196" ht="15.5" customHeight="1">
      <x:c r="A196" s="2"/>
      <x:c r="B196" s="2" t="str">
        <x:v>筹资活动现金流入小计</x:v>
      </x:c>
      <x:c r="C196" s="6" t="str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</x:row>
    <x:row r="197" ht="15.5" customHeight="1">
      <x:c r="A197" s="2"/>
      <x:c r="B197" s="2" t="str">
        <x:v>偿还债务支付的现金</x:v>
      </x:c>
      <x:c r="C197" s="6" t="str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</x:row>
    <x:row r="198" ht="15.5" customHeight="1">
      <x:c r="A198" s="2"/>
      <x:c r="B198" s="2" t="str">
        <x:v>分配股利、利润或偿付利息支付的现金</x:v>
      </x:c>
      <x:c r="C198" s="6" t="str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</x:row>
    <x:row r="199" ht="15.5" customHeight="1">
      <x:c r="A199" s="2"/>
      <x:c r="B199" s="2" t="str">
        <x:v>子公司支付给少数股东的股利、利润</x:v>
      </x:c>
      <x:c r="C199" s="6" t="str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</x:row>
    <x:row r="200" ht="15.5" customHeight="1">
      <x:c r="A200" s="2"/>
      <x:c r="B200" s="2" t="str">
        <x:v>支付其他与筹资活动有关的现金</x:v>
      </x:c>
      <x:c r="C200" s="6" t="str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</x:row>
    <x:row r="201" ht="15.5" customHeight="1">
      <x:c r="A201" s="2"/>
      <x:c r="B201" s="2" t="str">
        <x:v>筹资活动现金流出小计</x:v>
      </x:c>
      <x:c r="C201" s="6" t="str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</x:row>
    <x:row r="202" ht="15.5" customHeight="1">
      <x:c r="A202" s="2"/>
      <x:c r="B202" s="2" t="str">
        <x:v>筹资活动产生的现金流量净额</x:v>
      </x:c>
      <x:c r="C202" s="6" t="str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</x:row>
    <x:row r="203" ht="15.5" customHeight="1">
      <x:c r="A203" s="2"/>
      <x:c r="B203" s="2" t="str">
        <x:v>汇率变动对现金及现金等价物的影响</x:v>
      </x:c>
      <x:c r="C203" s="6" t="str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</x:row>
    <x:row r="204" ht="15.5" customHeight="1">
      <x:c r="A204" s="2"/>
      <x:c r="B204" s="2" t="str">
        <x:v>现金及现金等价物净增加额</x:v>
      </x:c>
      <x:c r="C204" s="6" t="str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</x:row>
    <x:row r="205" ht="15.5" customHeight="1">
      <x:c r="A205" s="2"/>
      <x:c r="B205" s="2" t="str">
        <x:v>期初现金及现金等价物余额</x:v>
      </x:c>
      <x:c r="C205" s="6" t="str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</x:row>
    <x:row r="206" ht="15.5" customHeight="1">
      <x:c r="A206" s="2"/>
      <x:c r="B206" s="2" t="str">
        <x:v>期末现金及现金等价物余额</x:v>
      </x:c>
      <x:c r="C206" s="6" t="str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</x:row>
    <x:row r="207" ht="15.5" customHeight="1">
      <x:c r="A207" s="2"/>
      <x:c r="B207" s="2" t="str">
        <x:v>收到再保险业务现金净额</x:v>
      </x:c>
      <x:c r="C207" s="6" t="str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</x:row>
    <x:row r="208" ht="15.5" customHeight="1">
      <x:c r="A208" s="2"/>
      <x:c r="B208" s="2" t="str">
        <x:v>处置以公允价值计量且其变动计入当期损益的金融资产净增加额</x:v>
      </x:c>
      <x:c r="C208" s="6" t="str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</x:row>
    <x:row r="209" ht="15.5" customHeight="1">
      <x:c r="A209" s="2"/>
      <x:c r="B209" s="2" t="str">
        <x:v>发行债券收到的现金</x:v>
      </x:c>
      <x:c r="C209" s="6" t="str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</x:row>
    <x:row r="210" ht="15.5" customHeight="1">
      <x:c r="A210" s="2"/>
      <x:c r="B210" s="2" t="str">
        <x:v>处置交易性金融资产净增加额</x:v>
      </x:c>
      <x:c r="C210" s="6" t="str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</x:row>
    <x:row r="211" ht="15.5" customHeight="1">
      <x:c r="A211" s="2"/>
      <x:c r="B211" s="2" t="str">
        <x:v>取得投资收益所收到的现金</x:v>
      </x:c>
      <x:c r="C211" s="6" t="str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</x:row>
    <x:row r="212" ht="15.5" customHeight="1">
      <x:c r="A212" s="2"/>
      <x:c r="B212" s="2" t="str">
        <x:v>客户存款和同业存放款项净增加</x:v>
      </x:c>
      <x:c r="C212" s="6" t="str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</x:row>
    <x:row r="213" ht="15.5" customHeight="1">
      <x:c r="A213" s="2"/>
      <x:c r="B213" s="2" t="str">
        <x:v>现金</x:v>
      </x:c>
      <x:c r="C213" s="6" t="str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</x:row>
    <x:row r="214" ht="21" customHeight="1">
      <x:c r="A214" s="2"/>
      <x:c r="B214" s="25" t="str">
        <x:v>四、现金流量表补充资料</x:v>
      </x:c>
      <x:c r="C214" s="26" t="str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</x:row>
    <x:row r="215" ht="15.5" customHeight="1">
      <x:c r="A215" s="2"/>
      <x:c r="B215" s="2" t="str">
        <x:v>净利润</x:v>
      </x:c>
      <x:c r="C215" s="6" t="str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</x:row>
    <x:row r="216" ht="15.5" customHeight="1">
      <x:c r="A216" s="2"/>
      <x:c r="B216" s="2" t="str">
        <x:v>资产减值准备</x:v>
      </x:c>
      <x:c r="C216" s="6" t="str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</x:row>
    <x:row r="217" ht="15.5" customHeight="1">
      <x:c r="A217" s="2"/>
      <x:c r="B217" s="2" t="str">
        <x:v>固定资产折旧、油气资产折耗、生产性生物资产折旧</x:v>
      </x:c>
      <x:c r="C217" s="6" t="str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</x:row>
    <x:row r="218" ht="15.5" customHeight="1">
      <x:c r="A218" s="2"/>
      <x:c r="B218" s="2" t="str">
        <x:v>使用权资产折旧</x:v>
      </x:c>
      <x:c r="C218" s="6" t="str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</x:row>
    <x:row r="219" ht="15.5" customHeight="1">
      <x:c r="A219" s="2"/>
      <x:c r="B219" s="2" t="str">
        <x:v>无形资产摊销</x:v>
      </x:c>
      <x:c r="C219" s="6" t="str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</x:row>
    <x:row r="220" ht="15.5" customHeight="1">
      <x:c r="A220" s="2"/>
      <x:c r="B220" s="2" t="str">
        <x:v>长期待摊费用摊销</x:v>
      </x:c>
      <x:c r="C220" s="6" t="str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</x:row>
    <x:row r="221" ht="15.5" customHeight="1">
      <x:c r="A221" s="2"/>
      <x:c r="B221" s="2" t="str">
        <x:v>经营活动产生的现金流量净额</x:v>
      </x:c>
      <x:c r="C221" s="6" t="str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</x:row>
    <x:row r="222" ht="21" customHeight="1">
      <x:c r="A222" s="2"/>
      <x:c r="B222" s="25" t="str">
        <x:v>五、iFinD 查询导出（连接返回精度；未覆盖项保留年报原值）</x:v>
      </x:c>
      <x:c r="C222" s="26" t="str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</x:row>
    <x:row r="223" ht="15.5" customHeight="1">
      <x:c r="A223" s="2"/>
      <x:c r="B223" s="2" t="str">
        <x:v>营业收入</x:v>
      </x:c>
      <x:c r="C223" s="6" t="str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</x:row>
    <x:row r="224" ht="15.5" customHeight="1">
      <x:c r="A224" s="2"/>
      <x:c r="B224" s="2" t="str">
        <x:v>归属于母公司所有者的净利润</x:v>
      </x:c>
      <x:c r="C224" s="6" t="str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</x:row>
    <x:row r="225" ht="15.5" customHeight="1">
      <x:c r="A225" s="2"/>
      <x:c r="B225" s="2" t="str">
        <x:v>资产总计</x:v>
      </x:c>
      <x:c r="C225" s="6" t="str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</x:row>
    <x:row r="226" ht="15.5" customHeight="1">
      <x:c r="A226" s="2"/>
      <x:c r="B226" s="2" t="str">
        <x:v>营业成本</x:v>
      </x:c>
      <x:c r="C226" s="6" t="str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</x:row>
    <x:row r="227" ht="15.5" customHeight="1">
      <x:c r="A227" s="2"/>
      <x:c r="B227" s="2" t="str">
        <x:v>销售费用</x:v>
      </x:c>
      <x:c r="C227" s="6" t="str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</x:row>
    <x:row r="228" ht="15.5" customHeight="1">
      <x:c r="A228" s="2"/>
      <x:c r="B228" s="2" t="str">
        <x:v>管理费用</x:v>
      </x:c>
      <x:c r="C228" s="6" t="str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</x:row>
    <x:row r="229" ht="15.5" customHeight="1">
      <x:c r="A229" s="2"/>
      <x:c r="B229" s="2" t="str">
        <x:v>研发费用</x:v>
      </x:c>
      <x:c r="C229" s="6" t="str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</x:row>
    <x:row r="230" ht="15.5" customHeight="1">
      <x:c r="A230" s="2"/>
      <x:c r="B230" s="2" t="str">
        <x:v>财务费用</x:v>
      </x:c>
      <x:c r="C230" s="6" t="str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</x:row>
    <x:row r="231" ht="15.5" customHeight="1">
      <x:c r="A231" s="2"/>
      <x:c r="B231" s="2" t="str">
        <x:v>经营活动产生的现金流量净额</x:v>
      </x:c>
      <x:c r="C231" s="6" t="str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</x:row>
    <x:row r="232" ht="15.5" customHeight="1">
      <x:c r="A232" s="2"/>
      <x:c r="B232" s="2" t="str">
        <x:v>投资活动产生的现金流量净额</x:v>
      </x:c>
      <x:c r="C232" s="6" t="str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</x:row>
    <x:row r="233" ht="15.5" customHeight="1">
      <x:c r="A233" s="2"/>
      <x:c r="B233" s="2" t="str">
        <x:v>筹资活动产生的现金流量净额</x:v>
      </x:c>
      <x:c r="C233" s="6" t="str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</x:row>
    <x:row r="234" ht="15.5" customHeight="1">
      <x:c r="A234" s="2"/>
      <x:c r="B234" s="2" t="str">
        <x:v>支付给职工以及为职工支付的现金</x:v>
      </x:c>
      <x:c r="C234" s="6" t="str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</x:row>
    <x:row r="235" ht="15.5" customHeight="1">
      <x:c r="A235" s="2"/>
      <x:c r="B235" s="2" t="str">
        <x:v>固定资产</x:v>
      </x:c>
      <x:c r="C235" s="6" t="str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</x:row>
    <x:row r="236" ht="15.5" customHeight="1">
      <x:c r="A236" s="2"/>
      <x:c r="B236" s="2" t="str">
        <x:v>在建工程</x:v>
      </x:c>
      <x:c r="C236" s="6" t="str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</x:row>
    <x:row r="237" ht="15.5" customHeight="1">
      <x:c r="A237" s="2"/>
      <x:c r="B237" s="2" t="str">
        <x:v>无形资产</x:v>
      </x:c>
      <x:c r="C237" s="6" t="str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</x:row>
    <x:row r="238" ht="15.5" customHeight="1">
      <x:c r="A238" s="2"/>
      <x:c r="B238" s="2" t="str">
        <x:v>应付职工薪酬</x:v>
      </x:c>
      <x:c r="C238" s="6" t="str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</x:row>
    <x:row r="239" ht="15.5" customHeight="1">
      <x:c r="A239" s="2"/>
      <x:c r="B239" s="2" t="str">
        <x:v>固定资产折旧、油气资产折耗、生产性生物资产折旧</x:v>
      </x:c>
      <x:c r="C239" s="6" t="str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</x:row>
    <x:row r="240" ht="15.5" customHeight="1">
      <x:c r="A240" s="2"/>
      <x:c r="B240" s="2" t="str">
        <x:v>使用权资产折旧</x:v>
      </x:c>
      <x:c r="C240" s="6" t="str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</x:row>
    <x:row r="241" ht="15.5" customHeight="1">
      <x:c r="A241" s="2"/>
      <x:c r="B241" s="2" t="str">
        <x:v>无形资产摊销</x:v>
      </x:c>
      <x:c r="C241" s="6" t="str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</x:row>
    <x:row r="242" ht="15.5" customHeight="1">
      <x:c r="A242" s="2"/>
      <x:c r="B242" s="2" t="str">
        <x:v>长期待摊费用摊销</x:v>
      </x:c>
      <x:c r="C242" s="6" t="str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</x:row>
    <x:row r="243" ht="21" customHeight="1">
      <x:c r="A243" s="2"/>
      <x:c r="B243" s="25" t="str">
        <x:v>六、三表与外部数据校验</x:v>
      </x:c>
      <x:c r="C243" s="26" t="str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</x:row>
    <x:row r="244" ht="15.5" customHeight="1">
      <x:c r="A244" s="2"/>
      <x:c r="B244" s="29" t="str">
        <x:v>收入与 iFinD 差额</x:v>
      </x:c>
      <x:c r="C244" s="32" t="str"/>
      <x:c r="D244" s="33" t="n">
        <x:f>IFERROR(0+('示例公司三表'!D7-0),"待填")</x:f>
        <x:v>0</x:v>
      </x:c>
      <x:c r="E244" s="33" t="n">
        <x:f>IFERROR(0+('示例公司三表'!E7-0),"待填")</x:f>
        <x:v>0</x:v>
      </x:c>
      <x:c r="F244" s="33" t="n">
        <x:f>IFERROR(0+('示例公司三表'!F7-0),"待填")</x:f>
        <x:v>0</x:v>
      </x:c>
      <x:c r="G244" s="33" t="n">
        <x:f>IFERROR(0+('示例公司三表'!G7-0),"待填")</x:f>
        <x:v>0</x:v>
      </x:c>
      <x:c r="H244" s="33" t="n">
        <x:f>IFERROR(0+('示例公司三表'!H7-0),"待填")</x:f>
        <x:v>0</x:v>
      </x:c>
      <x:c r="I244" s="33" t="n">
        <x:f>IFERROR(0+('示例公司三表'!I7-0),"待填")</x:f>
        <x:v>0</x:v>
      </x:c>
      <x:c r="J244" s="33" t="n">
        <x:f>IFERROR(0+('示例公司三表'!J7-0),"待填")</x:f>
        <x:v>0</x:v>
      </x:c>
      <x:c r="K244" s="33" t="n">
        <x:f>IFERROR(0+('示例公司三表'!K7-0),"待填")</x:f>
        <x:v>0</x:v>
      </x:c>
      <x:c r="L244" s="33" t="n">
        <x:f>IFERROR(0+('示例公司三表'!L7-0),"待填")</x:f>
        <x:v>0</x:v>
      </x:c>
      <x:c r="M244" s="33" t="n">
        <x:f>IFERROR(0+('示例公司三表'!M7-0),"待填")</x:f>
        <x:v>0</x:v>
      </x:c>
      <x:c r="N244" s="33" t="n">
        <x:f>IFERROR(0+('示例公司三表'!N7-0),"待填")</x:f>
        <x:v>0</x:v>
      </x:c>
      <x:c r="O244" s="33" t="n">
        <x:f>IFERROR(0+('示例公司三表'!O7-0),"待填")</x:f>
        <x:v>0</x:v>
      </x:c>
      <x:c r="P244" s="33" t="n">
        <x:f>IFERROR(0+('示例公司三表'!P7-0),"待填")</x:f>
        <x:v>0</x:v>
      </x:c>
      <x:c r="Q244" s="33" t="n">
        <x:f>IFERROR(0+('示例公司三表'!Q7-0),"待填")</x:f>
        <x:v>0</x:v>
      </x:c>
      <x:c r="R244" s="33" t="n">
        <x:f>IFERROR(0+('示例公司三表'!R7-0),"待填")</x:f>
        <x:v>0</x:v>
      </x:c>
      <x:c r="S244" s="33" t="n">
        <x:f>IFERROR(0+('示例公司三表'!S7-0),"待填")</x:f>
        <x:v>0</x:v>
      </x:c>
    </x:row>
    <x:row r="245" ht="15.5" customHeight="1">
      <x:c r="A245" s="2"/>
      <x:c r="B245" s="29" t="str">
        <x:v>归母利润与 iFinD 差额</x:v>
      </x:c>
      <x:c r="C245" s="32" t="str"/>
      <x:c r="D245" s="33" t="n">
        <x:f>IFERROR(0+('示例公司三表'!D43-0),"待填")</x:f>
        <x:v>0</x:v>
      </x:c>
      <x:c r="E245" s="33" t="n">
        <x:f>IFERROR(0+('示例公司三表'!E43-0),"待填")</x:f>
        <x:v>0</x:v>
      </x:c>
      <x:c r="F245" s="33" t="n">
        <x:f>IFERROR(0+('示例公司三表'!F43-0),"待填")</x:f>
        <x:v>0</x:v>
      </x:c>
      <x:c r="G245" s="33" t="n">
        <x:f>IFERROR(0+('示例公司三表'!G43-0),"待填")</x:f>
        <x:v>0</x:v>
      </x:c>
      <x:c r="H245" s="33" t="n">
        <x:f>IFERROR(0+('示例公司三表'!H43-0),"待填")</x:f>
        <x:v>0</x:v>
      </x:c>
      <x:c r="I245" s="33" t="n">
        <x:f>IFERROR(0+('示例公司三表'!I43-0),"待填")</x:f>
        <x:v>0</x:v>
      </x:c>
      <x:c r="J245" s="33" t="n">
        <x:f>IFERROR(0+('示例公司三表'!J43-0),"待填")</x:f>
        <x:v>0</x:v>
      </x:c>
      <x:c r="K245" s="33" t="n">
        <x:f>IFERROR(0+('示例公司三表'!K43-0),"待填")</x:f>
        <x:v>0</x:v>
      </x:c>
      <x:c r="L245" s="33" t="n">
        <x:f>IFERROR(0+('示例公司三表'!L43-0),"待填")</x:f>
        <x:v>0</x:v>
      </x:c>
      <x:c r="M245" s="33" t="n">
        <x:f>IFERROR(0+('示例公司三表'!M43-0),"待填")</x:f>
        <x:v>0</x:v>
      </x:c>
      <x:c r="N245" s="33" t="n">
        <x:f>IFERROR(0+('示例公司三表'!N43-0),"待填")</x:f>
        <x:v>0</x:v>
      </x:c>
      <x:c r="O245" s="33" t="n">
        <x:f>IFERROR(0+('示例公司三表'!O43-0),"待填")</x:f>
        <x:v>0</x:v>
      </x:c>
      <x:c r="P245" s="33" t="n">
        <x:f>IFERROR(0+('示例公司三表'!P43-0),"待填")</x:f>
        <x:v>0</x:v>
      </x:c>
      <x:c r="Q245" s="33" t="n">
        <x:f>IFERROR(0+('示例公司三表'!Q43-0),"待填")</x:f>
        <x:v>0</x:v>
      </x:c>
      <x:c r="R245" s="33" t="n">
        <x:f>IFERROR(0+('示例公司三表'!R43-0),"待填")</x:f>
        <x:v>0</x:v>
      </x:c>
      <x:c r="S245" s="33" t="n">
        <x:f>IFERROR(0+('示例公司三表'!S43-0),"待填")</x:f>
        <x:v>0</x:v>
      </x:c>
    </x:row>
    <x:row r="246" ht="15.5" customHeight="1">
      <x:c r="A246" s="2"/>
      <x:c r="B246" s="29" t="str">
        <x:v>资产与 iFinD 差额</x:v>
      </x:c>
      <x:c r="C246" s="32" t="str"/>
      <x:c r="D246" s="33" t="n">
        <x:f>IFERROR(0+('示例公司三表'!D106-0),"待填")</x:f>
        <x:v>0</x:v>
      </x:c>
      <x:c r="E246" s="33" t="n">
        <x:f>IFERROR(0+('示例公司三表'!E106-0),"待填")</x:f>
        <x:v>0</x:v>
      </x:c>
      <x:c r="F246" s="33" t="n">
        <x:f>IFERROR(0+('示例公司三表'!F106-0),"待填")</x:f>
        <x:v>0</x:v>
      </x:c>
      <x:c r="G246" s="33" t="n">
        <x:f>IFERROR(0+('示例公司三表'!G106-0),"待填")</x:f>
        <x:v>0</x:v>
      </x:c>
      <x:c r="H246" s="33" t="n">
        <x:f>IFERROR(0+('示例公司三表'!H106-0),"待填")</x:f>
        <x:v>0</x:v>
      </x:c>
      <x:c r="I246" s="33" t="n">
        <x:f>IFERROR(0+('示例公司三表'!I106-0),"待填")</x:f>
        <x:v>0</x:v>
      </x:c>
      <x:c r="J246" s="33" t="n">
        <x:f>IFERROR(0+('示例公司三表'!J106-0),"待填")</x:f>
        <x:v>0</x:v>
      </x:c>
      <x:c r="K246" s="33" t="n">
        <x:f>IFERROR(0+('示例公司三表'!K106-0),"待填")</x:f>
        <x:v>0</x:v>
      </x:c>
      <x:c r="L246" s="33" t="n">
        <x:f>IFERROR(0+('示例公司三表'!L106-0),"待填")</x:f>
        <x:v>0</x:v>
      </x:c>
      <x:c r="M246" s="33" t="n">
        <x:f>IFERROR(0+('示例公司三表'!M106-0),"待填")</x:f>
        <x:v>0</x:v>
      </x:c>
      <x:c r="N246" s="33" t="n">
        <x:f>IFERROR(0+('示例公司三表'!N106-0),"待填")</x:f>
        <x:v>0</x:v>
      </x:c>
      <x:c r="O246" s="33" t="n">
        <x:f>IFERROR(0+('示例公司三表'!O106-0),"待填")</x:f>
        <x:v>0</x:v>
      </x:c>
      <x:c r="P246" s="33" t="n">
        <x:f>IFERROR(0+('示例公司三表'!P106-0),"待填")</x:f>
        <x:v>0</x:v>
      </x:c>
      <x:c r="Q246" s="33" t="n">
        <x:f>IFERROR(0+('示例公司三表'!Q106-0),"待填")</x:f>
        <x:v>0</x:v>
      </x:c>
      <x:c r="R246" s="33" t="n">
        <x:f>IFERROR(0+('示例公司三表'!R106-0),"待填")</x:f>
        <x:v>0</x:v>
      </x:c>
      <x:c r="S246" s="33" t="n">
        <x:f>IFERROR(0+('示例公司三表'!S106-0),"待填")</x:f>
        <x:v>0</x:v>
      </x:c>
    </x:row>
    <x:row r="247" ht="25" customHeight="1">
      <x:c r="A247" s="2"/>
      <x:c r="B247" s="35" t="str">
        <x:v>【待补说明】填写该公司的口径、特殊事项和预测假设。</x:v>
      </x:c>
      <x:c r="C247" s="35" t="str">
        <x:v>【待补说明】填写该公司的口径、特殊事项和预测假设。</x:v>
      </x:c>
      <x:c r="D247" s="37"/>
      <x:c r="E247" s="37"/>
      <x:c r="F247" s="37"/>
      <x:c r="G247" s="37"/>
      <x:c r="H247" s="37"/>
      <x:c r="I247" s="37"/>
      <x:c r="J247" s="37"/>
      <x:c r="K247" s="37"/>
      <x:c r="L247" s="37"/>
      <x:c r="M247" s="37"/>
      <x:c r="N247" s="37"/>
      <x:c r="O247" s="37"/>
      <x:c r="P247" s="37"/>
      <x:c r="Q247" s="37"/>
      <x:c r="R247" s="37"/>
      <x:c r="S247" s="37"/>
    </x:row>
    <x:row r="248" ht="25" customHeight="1">
      <x:c r="A248" s="2"/>
      <x:c r="B248" s="35" t="str">
        <x:v>【待补说明】填写该公司的口径、特殊事项和预测假设。</x:v>
      </x:c>
      <x:c r="C248" s="35" t="str">
        <x:v>【待补说明】填写该公司的口径、特殊事项和预测假设。</x:v>
      </x:c>
      <x:c r="D248" s="37"/>
      <x:c r="E248" s="37"/>
      <x:c r="F248" s="37"/>
      <x:c r="G248" s="37"/>
      <x:c r="H248" s="37"/>
      <x:c r="I248" s="37"/>
      <x:c r="J248" s="37"/>
      <x:c r="K248" s="37"/>
      <x:c r="L248" s="37"/>
      <x:c r="M248" s="37"/>
      <x:c r="N248" s="37"/>
      <x:c r="O248" s="37"/>
      <x:c r="P248" s="37"/>
      <x:c r="Q248" s="37"/>
      <x:c r="R248" s="37"/>
      <x:c r="S248" s="37"/>
    </x:row>
  </x:sheetData>
  <x:mergeCells>
    <x:mergeCell ref="B1:S1"/>
    <x:mergeCell ref="B2:S2"/>
    <x:mergeCell ref="B3:S3"/>
    <x:mergeCell ref="B247:S247"/>
    <x:mergeCell ref="B248:S248"/>
  </x:mergeCells>
  <x:conditionalFormatting sqref="D244:S244">
    <x:cfRule type="expression" dxfId="0" priority="1">
      <x:formula>AND(ISNUMBER(D244),ABS(D244)&gt;0.02)</x:formula>
    </x:cfRule>
  </x:conditionalFormatting>
  <x:conditionalFormatting sqref="D245:S245">
    <x:cfRule type="expression" dxfId="1" priority="2">
      <x:formula>AND(ISNUMBER(D245),ABS(D245)&gt;0.02)</x:formula>
    </x:cfRule>
  </x:conditionalFormatting>
  <x:conditionalFormatting sqref="D246:S246">
    <x:cfRule type="expression" dxfId="2" priority="3">
      <x:formula>AND(ISNUMBER(D246),ABS(D246)&gt;0.02)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1" max="1" width="2.6600000858306885" hidden="0" customWidth="1"/>
    <x:col min="2" max="2" width="48" hidden="0" customWidth="1"/>
    <x:col min="3" max="3" width="23" hidden="0" customWidth="1"/>
  </x:cols>
  <x:sheetData>
    <x:row r="1" ht="26" customHeight="1">
      <x:c r="A1" s="2"/>
      <x:c r="B1" s="7" t="str">
        <x:v>示例公司附注数值底稿及年报索引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2010A</x:v>
      </x:c>
      <x:c r="E5" s="21" t="str">
        <x:v>2011A</x:v>
      </x:c>
      <x:c r="F5" s="21" t="str">
        <x:v>2012A</x:v>
      </x:c>
      <x:c r="G5" s="21" t="str">
        <x:v>2013A</x:v>
      </x:c>
      <x:c r="H5" s="21" t="str">
        <x:v>2014A</x:v>
      </x:c>
      <x:c r="I5" s="21" t="str">
        <x:v>2015A</x:v>
      </x:c>
      <x:c r="J5" s="21" t="str">
        <x:v>2016A</x:v>
      </x:c>
      <x:c r="K5" s="21" t="str">
        <x:v>2017A</x:v>
      </x:c>
      <x:c r="L5" s="21" t="str">
        <x:v>2018A</x:v>
      </x:c>
      <x:c r="M5" s="21" t="str">
        <x:v>2019A</x:v>
      </x:c>
      <x:c r="N5" s="21" t="str">
        <x:v>2020A</x:v>
      </x:c>
      <x:c r="O5" s="21" t="str">
        <x:v>2021A</x:v>
      </x:c>
      <x:c r="P5" s="21" t="str">
        <x:v>2022A</x:v>
      </x:c>
      <x:c r="Q5" s="21" t="str">
        <x:v>2023A</x:v>
      </x:c>
      <x:c r="R5" s="21" t="str">
        <x:v>2024A</x:v>
      </x:c>
      <x:c r="S5" s="21" t="str">
        <x:v>2025A</x:v>
      </x:c>
    </x:row>
    <x:row r="6" ht="21" customHeight="1">
      <x:c r="A6" s="2"/>
      <x:c r="B6" s="25" t="str">
        <x:v>一、销售、管理与研发费用明细（当年原始披露）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</x:row>
    <x:row r="7" ht="15.5" customHeight="1">
      <x:c r="A7" s="2"/>
      <x:c r="B7" s="2" t="str">
        <x:v>销售：职工薪酬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 ht="15.5" customHeight="1">
      <x:c r="A8" s="2"/>
      <x:c r="B8" s="2" t="str">
        <x:v>销售：运杂仓储费</x:v>
      </x:c>
      <x:c r="C8" s="6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 ht="15.5" customHeight="1">
      <x:c r="A9" s="2"/>
      <x:c r="B9" s="2" t="str">
        <x:v>销售：代理手续费</x:v>
      </x:c>
      <x:c r="C9" s="6" t="str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</x:row>
    <x:row r="10" ht="15.5" customHeight="1">
      <x:c r="A10" s="2"/>
      <x:c r="B10" s="2" t="str">
        <x:v>销售：业务招待费</x:v>
      </x:c>
      <x:c r="C10" s="6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</x:row>
    <x:row r="11" ht="15.5" customHeight="1">
      <x:c r="A11" s="2"/>
      <x:c r="B11" s="2" t="str">
        <x:v>销售：售后服务费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</x:row>
    <x:row r="12" ht="15.5" customHeight="1">
      <x:c r="A12" s="2"/>
      <x:c r="B12" s="2" t="str">
        <x:v>销售：办公费</x:v>
      </x:c>
      <x:c r="C12" s="6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</x:row>
    <x:row r="13" ht="15.5" customHeight="1">
      <x:c r="A13" s="2"/>
      <x:c r="B13" s="2" t="str">
        <x:v>销售：差旅费</x:v>
      </x:c>
      <x:c r="C13" s="6" t="str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 ht="15.5" customHeight="1">
      <x:c r="A14" s="2"/>
      <x:c r="B14" s="2" t="str">
        <x:v>销售：其他</x:v>
      </x:c>
      <x:c r="C14" s="6" t="str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 ht="15.5" customHeight="1">
      <x:c r="A15" s="2"/>
      <x:c r="B15" s="2" t="str">
        <x:v>销售：股权激励费用</x:v>
      </x:c>
      <x:c r="C15" s="6" t="str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 ht="15.5" customHeight="1">
      <x:c r="A16" s="2"/>
      <x:c r="B16" s="38" t="str">
        <x:v>销售费用附注合计</x:v>
      </x:c>
      <x:c r="C16" s="39" t="str">
        <x:v>当年附注合计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</x:row>
    <x:row r="17" ht="15.5" customHeight="1">
      <x:c r="A17" s="2"/>
      <x:c r="B17" s="2" t="str">
        <x:v>管理：职工薪酬</x:v>
      </x:c>
      <x:c r="C17" s="6" t="str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</x:row>
    <x:row r="18" ht="15.5" customHeight="1">
      <x:c r="A18" s="2"/>
      <x:c r="B18" s="2" t="str">
        <x:v>管理：研究开发费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</x:row>
    <x:row r="19" ht="15.5" customHeight="1">
      <x:c r="A19" s="2"/>
      <x:c r="B19" s="2" t="str">
        <x:v>管理：折旧、摊销</x:v>
      </x:c>
      <x:c r="C19" s="6" t="str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</x:row>
    <x:row r="20" ht="15.5" customHeight="1">
      <x:c r="A20" s="2"/>
      <x:c r="B20" s="2" t="str">
        <x:v>管理：业务招待费</x:v>
      </x:c>
      <x:c r="C20" s="6" t="str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</x:row>
    <x:row r="21" ht="15.5" customHeight="1">
      <x:c r="A21" s="2"/>
      <x:c r="B21" s="2" t="str">
        <x:v>管理：税金</x:v>
      </x:c>
      <x:c r="C21" s="6" t="str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</x:row>
    <x:row r="22" ht="15.5" customHeight="1">
      <x:c r="A22" s="2"/>
      <x:c r="B22" s="2" t="str">
        <x:v>管理：办公费</x:v>
      </x:c>
      <x:c r="C22" s="6" t="str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</x:row>
    <x:row r="23" ht="15.5" customHeight="1">
      <x:c r="A23" s="2"/>
      <x:c r="B23" s="2" t="str">
        <x:v>管理：评估咨询费</x:v>
      </x:c>
      <x:c r="C23" s="6" t="str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</x:row>
    <x:row r="24" ht="15.5" customHeight="1">
      <x:c r="A24" s="2"/>
      <x:c r="B24" s="2" t="str">
        <x:v>管理：其他</x:v>
      </x:c>
      <x:c r="C24" s="6" t="str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</x:row>
    <x:row r="25" ht="15.5" customHeight="1">
      <x:c r="A25" s="2"/>
      <x:c r="B25" s="2" t="str">
        <x:v>管理：股权激励费用</x:v>
      </x:c>
      <x:c r="C25" s="6" t="str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 ht="15.5" customHeight="1">
      <x:c r="A26" s="2"/>
      <x:c r="B26" s="2" t="str">
        <x:v>管理：税金[注]</x:v>
      </x:c>
      <x:c r="C26" s="6" t="str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</x:row>
    <x:row r="27" ht="15.5" customHeight="1">
      <x:c r="A27" s="2"/>
      <x:c r="B27" s="2" t="str">
        <x:v>管理：税费[注]</x:v>
      </x:c>
      <x:c r="C27" s="6" t="str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</x:row>
    <x:row r="28" ht="15.5" customHeight="1">
      <x:c r="A28" s="2"/>
      <x:c r="B28" s="2" t="str">
        <x:v>管理：折旧及摊销</x:v>
      </x:c>
      <x:c r="C28" s="6" t="str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</x:row>
    <x:row r="29" ht="15.5" customHeight="1">
      <x:c r="A29" s="2"/>
      <x:c r="B29" s="2" t="str">
        <x:v>管理：中介机构费</x:v>
      </x:c>
      <x:c r="C29" s="6" t="str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</x:row>
    <x:row r="30" ht="15.5" customHeight="1">
      <x:c r="A30" s="2"/>
      <x:c r="B30" s="38" t="str">
        <x:v>管理费用附注合计</x:v>
      </x:c>
      <x:c r="C30" s="39" t="str">
        <x:v>当年附注合计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</x:row>
    <x:row r="31" ht="15.5" customHeight="1">
      <x:c r="A31" s="2"/>
      <x:c r="B31" s="2" t="str">
        <x:v>研发：人员人工</x:v>
      </x:c>
      <x:c r="C31" s="6" t="str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</x:row>
    <x:row r="32" ht="15.5" customHeight="1">
      <x:c r="A32" s="2"/>
      <x:c r="B32" s="2" t="str">
        <x:v>研发：直接投入</x:v>
      </x:c>
      <x:c r="C32" s="6" t="str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</x:row>
    <x:row r="33" ht="15.5" customHeight="1">
      <x:c r="A33" s="2"/>
      <x:c r="B33" s="2" t="str">
        <x:v>研发：折旧及摊销</x:v>
      </x:c>
      <x:c r="C33" s="6" t="str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</x:row>
    <x:row r="34" ht="15.5" customHeight="1">
      <x:c r="A34" s="2"/>
      <x:c r="B34" s="2" t="str">
        <x:v>研发：其他</x:v>
      </x:c>
      <x:c r="C34" s="6" t="str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</x:row>
    <x:row r="35" ht="15.5" customHeight="1">
      <x:c r="A35" s="2"/>
      <x:c r="B35" s="2" t="str">
        <x:v>研发：职工薪酬</x:v>
      </x:c>
      <x:c r="C35" s="6" t="str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</x:row>
    <x:row r="36" ht="15.5" customHeight="1">
      <x:c r="A36" s="2"/>
      <x:c r="B36" s="2" t="str">
        <x:v>研发：股权激励费用</x:v>
      </x:c>
      <x:c r="C36" s="6" t="str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</x:row>
    <x:row r="37" ht="15.5" customHeight="1">
      <x:c r="A37" s="2"/>
      <x:c r="B37" s="38" t="str">
        <x:v>研发费用附注合计</x:v>
      </x:c>
      <x:c r="C37" s="39" t="str">
        <x:v>当年附注合计</x:v>
      </x:c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</x:row>
    <x:row r="38" ht="21" customHeight="1">
      <x:c r="A38" s="2"/>
      <x:c r="B38" s="25" t="str">
        <x:v>二、员工人数与收入分配辅助项</x:v>
      </x:c>
      <x:c r="C38" s="26" t="str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</x:row>
    <x:row r="39" ht="15.5" customHeight="1">
      <x:c r="A39" s="2"/>
      <x:c r="B39" s="2" t="str">
        <x:v>生产人员</x:v>
      </x:c>
      <x:c r="C39" s="6" t="str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</x:row>
    <x:row r="40" ht="15.5" customHeight="1">
      <x:c r="A40" s="2"/>
      <x:c r="B40" s="2" t="str">
        <x:v>销售人员</x:v>
      </x:c>
      <x:c r="C40" s="6" t="str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</x:row>
    <x:row r="41" ht="15.5" customHeight="1">
      <x:c r="A41" s="2"/>
      <x:c r="B41" s="2" t="str">
        <x:v>技术人员</x:v>
      </x:c>
      <x:c r="C41" s="6" t="str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</x:row>
    <x:row r="42" ht="15.5" customHeight="1">
      <x:c r="A42" s="2"/>
      <x:c r="B42" s="2" t="str">
        <x:v>财务人员</x:v>
      </x:c>
      <x:c r="C42" s="6" t="str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</x:row>
    <x:row r="43" ht="15.5" customHeight="1">
      <x:c r="A43" s="2"/>
      <x:c r="B43" s="2" t="str">
        <x:v>行政人员</x:v>
      </x:c>
      <x:c r="C43" s="6" t="str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</x:row>
    <x:row r="44" ht="15.5" customHeight="1">
      <x:c r="A44" s="2"/>
      <x:c r="B44" s="2" t="str">
        <x:v>其他人员</x:v>
      </x:c>
      <x:c r="C44" s="6" t="str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</x:row>
    <x:row r="45" ht="25" customHeight="1">
      <x:c r="A45" s="2"/>
      <x:c r="B45" s="35" t="str">
        <x:v>【待补说明】填写该公司的口径、特殊事项和预测假设。</x:v>
      </x:c>
      <x:c r="C45" s="35" t="str">
        <x:v>【待补说明】填写该公司的口径、特殊事项和预测假设。</x:v>
      </x:c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</x:row>
    <x:row r="46" ht="21" customHeight="1">
      <x:c r="A46" s="2"/>
      <x:c r="B46" s="25" t="str">
        <x:v>三、来源及截图导航（PDF 物理页码）</x:v>
      </x:c>
      <x:c r="C46" s="26" t="str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</x:row>
    <x:row r="47" ht="25" customHeight="1">
      <x:c r="A47" s="2"/>
      <x:c r="B47" s="35" t="str">
        <x:v>【待补说明】填写该公司的口径、特殊事项和预测假设。</x:v>
      </x:c>
      <x:c r="C47" s="35" t="str">
        <x:v>【待补说明】填写该公司的口径、特殊事项和预测假设。</x:v>
      </x:c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</x:row>
    <x:row r="48" ht="25" customHeight="1">
      <x:c r="A48" s="2"/>
      <x:c r="B48" s="35" t="str">
        <x:v>【待补说明】填写该公司的口径、特殊事项和预测假设。</x:v>
      </x:c>
      <x:c r="C48" s="35" t="str">
        <x:v>【待补说明】填写该公司的口径、特殊事项和预测假设。</x:v>
      </x:c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</x:row>
    <x:row r="49" ht="25" customHeight="1">
      <x:c r="A49" s="2"/>
      <x:c r="B49" s="35" t="str">
        <x:v>【待补说明】填写该公司的口径、特殊事项和预测假设。</x:v>
      </x:c>
      <x:c r="C49" s="35" t="str">
        <x:v>【待补说明】填写该公司的口径、特殊事项和预测假设。</x:v>
      </x:c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</x:row>
    <x:row r="50" ht="25" customHeight="1">
      <x:c r="A50" s="2"/>
      <x:c r="B50" s="35" t="str">
        <x:v>【待补说明】填写该公司的口径、特殊事项和预测假设。</x:v>
      </x:c>
      <x:c r="C50" s="35" t="str">
        <x:v>【待补说明】填写该公司的口径、特殊事项和预测假设。</x:v>
      </x:c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</x:row>
    <x:row r="51" ht="25" customHeight="1">
      <x:c r="A51" s="2"/>
      <x:c r="B51" s="35" t="str">
        <x:v>【待补说明】填写该公司的口径、特殊事项和预测假设。</x:v>
      </x:c>
      <x:c r="C51" s="35" t="str">
        <x:v>【待补说明】填写该公司的口径、特殊事项和预测假设。</x:v>
      </x:c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</x:row>
    <x:row r="52" ht="25" customHeight="1">
      <x:c r="A52" s="2"/>
      <x:c r="B52" s="35" t="str">
        <x:v>【待补说明】填写该公司的口径、特殊事项和预测假设。</x:v>
      </x:c>
      <x:c r="C52" s="35" t="str">
        <x:v>【待补说明】填写该公司的口径、特殊事项和预测假设。</x:v>
      </x:c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</x:row>
    <x:row r="53" ht="25" customHeight="1">
      <x:c r="A53" s="2"/>
      <x:c r="B53" s="35" t="str">
        <x:v>【待补说明】填写该公司的口径、特殊事项和预测假设。</x:v>
      </x:c>
      <x:c r="C53" s="35" t="str">
        <x:v>【待补说明】填写该公司的口径、特殊事项和预测假设。</x:v>
      </x:c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</x:row>
    <x:row r="54" ht="25" customHeight="1">
      <x:c r="A54" s="2"/>
      <x:c r="B54" s="35" t="str">
        <x:v>【待补说明】填写该公司的口径、特殊事项和预测假设。</x:v>
      </x:c>
      <x:c r="C54" s="35" t="str">
        <x:v>【待补说明】填写该公司的口径、特殊事项和预测假设。</x:v>
      </x:c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</x:row>
    <x:row r="55" ht="25" customHeight="1">
      <x:c r="A55" s="2"/>
      <x:c r="B55" s="35" t="str">
        <x:v>【待补说明】填写该公司的口径、特殊事项和预测假设。</x:v>
      </x:c>
      <x:c r="C55" s="35" t="str">
        <x:v>【待补说明】填写该公司的口径、特殊事项和预测假设。</x:v>
      </x:c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</x:row>
    <x:row r="56" ht="25" customHeight="1">
      <x:c r="A56" s="2"/>
      <x:c r="B56" s="35" t="str">
        <x:v>【待补说明】填写该公司的口径、特殊事项和预测假设。</x:v>
      </x:c>
      <x:c r="C56" s="35" t="str">
        <x:v>【待补说明】填写该公司的口径、特殊事项和预测假设。</x:v>
      </x:c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</x:row>
    <x:row r="57" ht="25" customHeight="1">
      <x:c r="A57" s="2"/>
      <x:c r="B57" s="35" t="str">
        <x:v>【待补说明】填写该公司的口径、特殊事项和预测假设。</x:v>
      </x:c>
      <x:c r="C57" s="35" t="str">
        <x:v>【待补说明】填写该公司的口径、特殊事项和预测假设。</x:v>
      </x:c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</x:row>
    <x:row r="58" ht="25" customHeight="1">
      <x:c r="A58" s="2"/>
      <x:c r="B58" s="35" t="str">
        <x:v>【待补说明】填写该公司的口径、特殊事项和预测假设。</x:v>
      </x:c>
      <x:c r="C58" s="35" t="str">
        <x:v>【待补说明】填写该公司的口径、特殊事项和预测假设。</x:v>
      </x:c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</x:row>
    <x:row r="59" ht="25" customHeight="1">
      <x:c r="A59" s="2"/>
      <x:c r="B59" s="35" t="str">
        <x:v>【待补说明】填写该公司的口径、特殊事项和预测假设。</x:v>
      </x:c>
      <x:c r="C59" s="35" t="str">
        <x:v>【待补说明】填写该公司的口径、特殊事项和预测假设。</x:v>
      </x:c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</x:row>
    <x:row r="60" ht="25" customHeight="1">
      <x:c r="A60" s="2"/>
      <x:c r="B60" s="35" t="str">
        <x:v>【待补说明】填写该公司的口径、特殊事项和预测假设。</x:v>
      </x:c>
      <x:c r="C60" s="35" t="str">
        <x:v>【待补说明】填写该公司的口径、特殊事项和预测假设。</x:v>
      </x:c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</x:row>
    <x:row r="61" ht="25" customHeight="1">
      <x:c r="A61" s="2"/>
      <x:c r="B61" s="35" t="str">
        <x:v>【待补说明】填写该公司的口径、特殊事项和预测假设。</x:v>
      </x:c>
      <x:c r="C61" s="35" t="str">
        <x:v>【待补说明】填写该公司的口径、特殊事项和预测假设。</x:v>
      </x:c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</x:row>
    <x:row r="62" ht="25" customHeight="1">
      <x:c r="A62" s="2"/>
      <x:c r="B62" s="35" t="str">
        <x:v>【待补说明】填写该公司的口径、特殊事项和预测假设。</x:v>
      </x:c>
      <x:c r="C62" s="35" t="str">
        <x:v>【待补说明】填写该公司的口径、特殊事项和预测假设。</x:v>
      </x:c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</x:row>
    <x:row r="63" ht="25" customHeight="1">
      <x:c r="A63" s="2"/>
      <x:c r="B63" s="35" t="str">
        <x:v>【待补说明】填写该公司的口径、特殊事项和预测假设。</x:v>
      </x:c>
      <x:c r="C63" s="35" t="str">
        <x:v>【待补说明】填写该公司的口径、特殊事项和预测假设。</x:v>
      </x:c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</x:row>
    <x:row r="64" ht="25" customHeight="1">
      <x:c r="A64" s="2"/>
      <x:c r="B64" s="35" t="str">
        <x:v>【待补说明】填写该公司的口径、特殊事项和预测假设。</x:v>
      </x:c>
      <x:c r="C64" s="35" t="str">
        <x:v>【待补说明】填写该公司的口径、特殊事项和预测假设。</x:v>
      </x:c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</x:row>
    <x:row r="65" ht="25" customHeight="1">
      <x:c r="A65" s="2"/>
      <x:c r="B65" s="35" t="str">
        <x:v>【待补说明】填写该公司的口径、特殊事项和预测假设。</x:v>
      </x:c>
      <x:c r="C65" s="35" t="str">
        <x:v>【待补说明】填写该公司的口径、特殊事项和预测假设。</x:v>
      </x:c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</x:row>
    <x:row r="66" ht="25" customHeight="1">
      <x:c r="A66" s="2"/>
      <x:c r="B66" s="35" t="str">
        <x:v>【待补说明】填写该公司的口径、特殊事项和预测假设。</x:v>
      </x:c>
      <x:c r="C66" s="35" t="str">
        <x:v>【待补说明】填写该公司的口径、特殊事项和预测假设。</x:v>
      </x:c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</x:row>
    <x:row r="67" ht="25" customHeight="1">
      <x:c r="A67" s="2"/>
      <x:c r="B67" s="35" t="str">
        <x:v>【待补说明】填写该公司的口径、特殊事项和预测假设。</x:v>
      </x:c>
      <x:c r="C67" s="35" t="str">
        <x:v>【待补说明】填写该公司的口径、特殊事项和预测假设。</x:v>
      </x:c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</x:row>
    <x:row r="68" ht="25" customHeight="1">
      <x:c r="A68" s="2"/>
      <x:c r="B68" s="35" t="str">
        <x:v>【待补说明】填写该公司的口径、特殊事项和预测假设。</x:v>
      </x:c>
      <x:c r="C68" s="35" t="str">
        <x:v>【待补说明】填写该公司的口径、特殊事项和预测假设。</x:v>
      </x:c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</x:row>
    <x:row r="69" ht="25" customHeight="1">
      <x:c r="A69" s="2"/>
      <x:c r="B69" s="35" t="str">
        <x:v>【待补说明】填写该公司的口径、特殊事项和预测假设。</x:v>
      </x:c>
      <x:c r="C69" s="35" t="str">
        <x:v>【待补说明】填写该公司的口径、特殊事项和预测假设。</x:v>
      </x:c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</x:row>
    <x:row r="70" ht="25" customHeight="1">
      <x:c r="A70" s="2"/>
      <x:c r="B70" s="35" t="str">
        <x:v>【待补说明】填写该公司的口径、特殊事项和预测假设。</x:v>
      </x:c>
      <x:c r="C70" s="35" t="str">
        <x:v>【待补说明】填写该公司的口径、特殊事项和预测假设。</x:v>
      </x:c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</x:row>
    <x:row r="71" ht="25" customHeight="1">
      <x:c r="A71" s="2"/>
      <x:c r="B71" s="35" t="str">
        <x:v>【待补说明】填写该公司的口径、特殊事项和预测假设。</x:v>
      </x:c>
      <x:c r="C71" s="35" t="str">
        <x:v>【待补说明】填写该公司的口径、特殊事项和预测假设。</x:v>
      </x:c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</x:row>
    <x:row r="72" ht="25" customHeight="1">
      <x:c r="A72" s="2"/>
      <x:c r="B72" s="35" t="str">
        <x:v>【待补说明】填写该公司的口径、特殊事项和预测假设。</x:v>
      </x:c>
      <x:c r="C72" s="35" t="str">
        <x:v>【待补说明】填写该公司的口径、特殊事项和预测假设。</x:v>
      </x:c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</x:row>
    <x:row r="73" ht="25" customHeight="1">
      <x:c r="A73" s="2"/>
      <x:c r="B73" s="35" t="str">
        <x:v>【待补说明】填写该公司的口径、特殊事项和预测假设。</x:v>
      </x:c>
      <x:c r="C73" s="35" t="str">
        <x:v>【待补说明】填写该公司的口径、特殊事项和预测假设。</x:v>
      </x:c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</x:row>
    <x:row r="74" ht="25" customHeight="1">
      <x:c r="A74" s="2"/>
      <x:c r="B74" s="35" t="str">
        <x:v>【待补说明】填写该公司的口径、特殊事项和预测假设。</x:v>
      </x:c>
      <x:c r="C74" s="35" t="str">
        <x:v>【待补说明】填写该公司的口径、特殊事项和预测假设。</x:v>
      </x:c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</x:row>
    <x:row r="75" ht="25" customHeight="1">
      <x:c r="A75" s="2"/>
      <x:c r="B75" s="35" t="str">
        <x:v>【待补说明】填写该公司的口径、特殊事项和预测假设。</x:v>
      </x:c>
      <x:c r="C75" s="35" t="str">
        <x:v>【待补说明】填写该公司的口径、特殊事项和预测假设。</x:v>
      </x:c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</x:row>
    <x:row r="76" ht="25" customHeight="1">
      <x:c r="A76" s="2"/>
      <x:c r="B76" s="35" t="str">
        <x:v>【待补说明】填写该公司的口径、特殊事项和预测假设。</x:v>
      </x:c>
      <x:c r="C76" s="35" t="str">
        <x:v>【待补说明】填写该公司的口径、特殊事项和预测假设。</x:v>
      </x:c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</x:row>
    <x:row r="77" ht="25" customHeight="1">
      <x:c r="A77" s="2"/>
      <x:c r="B77" s="35" t="str">
        <x:v>【待补说明】填写该公司的口径、特殊事项和预测假设。</x:v>
      </x:c>
      <x:c r="C77" s="35" t="str">
        <x:v>【待补说明】填写该公司的口径、特殊事项和预测假设。</x:v>
      </x:c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</x:row>
    <x:row r="78" ht="25" customHeight="1">
      <x:c r="A78" s="2"/>
      <x:c r="B78" s="35" t="str">
        <x:v>【待补说明】填写该公司的口径、特殊事项和预测假设。</x:v>
      </x:c>
      <x:c r="C78" s="35" t="str">
        <x:v>【待补说明】填写该公司的口径、特殊事项和预测假设。</x:v>
      </x:c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</x:row>
  </x:sheetData>
  <x:mergeCells>
    <x:mergeCell ref="B1:S1"/>
    <x:mergeCell ref="B2:S2"/>
    <x:mergeCell ref="B3:S3"/>
    <x:mergeCell ref="B45:S45"/>
    <x:mergeCell ref="B47:S47"/>
    <x:mergeCell ref="B48:S48"/>
    <x:mergeCell ref="B49:S49"/>
    <x:mergeCell ref="B50:S50"/>
    <x:mergeCell ref="B51:S51"/>
    <x:mergeCell ref="B52:S52"/>
    <x:mergeCell ref="B53:S53"/>
    <x:mergeCell ref="B54:S54"/>
    <x:mergeCell ref="B55:S55"/>
    <x:mergeCell ref="B56:S56"/>
    <x:mergeCell ref="B57:S57"/>
    <x:mergeCell ref="B58:S58"/>
    <x:mergeCell ref="B59:S59"/>
    <x:mergeCell ref="B60:S60"/>
    <x:mergeCell ref="B61:S61"/>
    <x:mergeCell ref="B62:S62"/>
    <x:mergeCell ref="B63:S63"/>
    <x:mergeCell ref="B64:S64"/>
    <x:mergeCell ref="B65:S65"/>
    <x:mergeCell ref="B66:S66"/>
    <x:mergeCell ref="B67:S67"/>
    <x:mergeCell ref="B68:S68"/>
    <x:mergeCell ref="B69:S69"/>
    <x:mergeCell ref="B70:S70"/>
    <x:mergeCell ref="B71:S71"/>
    <x:mergeCell ref="B72:S72"/>
    <x:mergeCell ref="B73:S73"/>
    <x:mergeCell ref="B74:S74"/>
    <x:mergeCell ref="B75:S75"/>
    <x:mergeCell ref="B76:S76"/>
    <x:mergeCell ref="B77:S77"/>
    <x:mergeCell ref="B78:S78"/>
  </x:mergeCells>
  <x:pageMargins left="0.7" right="0.7" top="0.75" bottom="0.75" header="0.3" footer="0.3"/>
</x:worksheet>
</file>

<file path=xl/worksheets/sheet4.xml><?xml version="1.0" encoding="utf-8"?>
<worksheet xmlns="http://schemas.openxmlformats.org/spreadsheetml/2006/main" xmlns:ns1="http://schemas.microsoft.com/office/spreadsheetml/2009/9/main" xmlns:ns2="http://schemas.microsoft.com/office/excel/2006/main">
  <sheetPr>
    <tabColor rgb="FFFF0000"/>
  </sheetPr>
  <sheetViews>
    <sheetView showGridLines="1" workbookViewId="0">
      <pane xSplit="3" ySplit="2" topLeftCell="D3" activePane="bottomRight" state="frozen"/>
    </sheetView>
  </sheetViews>
  <sheetFormatPr defaultRowHeight="15"/>
  <cols>
    <col min="4" max="4" width="14.329999923706055" hidden="0" customWidth="1"/>
    <col min="5" max="5" width="14.329999923706055" hidden="0" customWidth="1"/>
    <col min="6" max="6" width="14.329999923706055" hidden="0" customWidth="1"/>
    <col min="7" max="7" width="14.329999923706055" hidden="0" customWidth="1"/>
    <col min="8" max="8" width="14.329999923706055" hidden="0" customWidth="1"/>
    <col min="9" max="9" width="14.329999923706055" hidden="0" customWidth="1"/>
    <col min="10" max="10" width="14.329999923706055" hidden="0" customWidth="1"/>
    <col min="11" max="11" width="14.329999923706055" hidden="0" customWidth="1"/>
    <col min="12" max="12" width="14.329999923706055" hidden="0" customWidth="1"/>
    <col min="13" max="13" width="14.329999923706055" hidden="0" customWidth="1"/>
    <col min="14" max="14" width="14.329999923706055" hidden="0" customWidth="1"/>
    <col min="15" max="15" width="14.329999923706055" hidden="0" customWidth="1"/>
    <col min="16" max="16" width="14.329999923706055" hidden="0" customWidth="1"/>
    <col min="17" max="17" width="14.329999923706055" hidden="0" customWidth="1"/>
    <col min="18" max="18" width="14.329999923706055" hidden="0" customWidth="1"/>
    <col min="19" max="19" width="14.329999923706055" hidden="0" customWidth="1"/>
    <col min="1" max="1" width="11" hidden="0" customWidth="1"/>
    <col min="2" max="2" width="27" hidden="0" customWidth="1"/>
    <col min="3" max="3" width="57" hidden="0" customWidth="1"/>
  </cols>
  <sheetData>
    <row r="1" ht="17" customHeight="1">
      <c r="A1" s="2" t="str">
        <v>跳转：总项统计</v>
      </c>
      <c r="B1" s="46" t="str"/>
      <c r="C1" s="10" t="str">
        <v>表达模板；金额：亿元；人数：人；工资：万元/年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ht="21" customHeight="1">
      <c r="A2" s="2" t="str">
        <v>跳转：细项拆分</v>
      </c>
      <c r="B2" s="46" t="str"/>
      <c r="C2" s="38" t="str">
        <v>示例公司收入分配拆分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ht="20" customHeight="1">
      <c r="A3" s="2"/>
      <c r="B3" s="46" t="str"/>
      <c r="C3" s="53" t="str">
        <v>总项统计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ht="21" customHeight="1">
      <c r="A4" s="2"/>
      <c r="B4" s="46" t="str">
        <v>计算方法备注</v>
      </c>
      <c r="C4" s="54" t="str">
        <v>项目数额</v>
      </c>
      <c r="D4" s="55" t="str">
        <v>2010年</v>
      </c>
      <c r="E4" s="55" t="str">
        <v>2011年</v>
      </c>
      <c r="F4" s="55" t="str">
        <v>2012年</v>
      </c>
      <c r="G4" s="55" t="str">
        <v>2013年</v>
      </c>
      <c r="H4" s="55" t="str">
        <v>2014年</v>
      </c>
      <c r="I4" s="55" t="str">
        <v>2015年</v>
      </c>
      <c r="J4" s="55" t="str">
        <v>2016年</v>
      </c>
      <c r="K4" s="55" t="str">
        <v>2017年</v>
      </c>
      <c r="L4" s="55" t="str">
        <v>2018年</v>
      </c>
      <c r="M4" s="55" t="str">
        <v>2019年</v>
      </c>
      <c r="N4" s="55" t="str">
        <v>2020年</v>
      </c>
      <c r="O4" s="55" t="str">
        <v>2021年</v>
      </c>
      <c r="P4" s="55" t="str">
        <v>2022年</v>
      </c>
      <c r="Q4" s="55" t="str">
        <v>2023年</v>
      </c>
      <c r="R4" s="55" t="str">
        <v>2024年</v>
      </c>
      <c r="S4" s="55" t="str">
        <v>2025年</v>
      </c>
    </row>
    <row r="5" ht="18" customHeight="1">
      <c r="A5" s="2"/>
      <c r="B5" s="46" t="str"/>
      <c r="C5" s="57" t="str">
        <v>收入</v>
      </c>
      <c r="D5" s="44" t="n">
        <f>IFERROR(0+(D39),"待填")</f>
        <v>0</v>
      </c>
      <c r="E5" s="44" t="n">
        <f>IFERROR(0+(E39),"待填")</f>
        <v>0</v>
      </c>
      <c r="F5" s="44" t="n">
        <f>IFERROR(0+(F39),"待填")</f>
        <v>0</v>
      </c>
      <c r="G5" s="44" t="n">
        <f>IFERROR(0+(G39),"待填")</f>
        <v>0</v>
      </c>
      <c r="H5" s="44" t="n">
        <f>IFERROR(0+(H39),"待填")</f>
        <v>0</v>
      </c>
      <c r="I5" s="44" t="n">
        <f>IFERROR(0+(I39),"待填")</f>
        <v>0</v>
      </c>
      <c r="J5" s="44" t="n">
        <f>IFERROR(0+(J39),"待填")</f>
        <v>0</v>
      </c>
      <c r="K5" s="44" t="n">
        <f>IFERROR(0+(K39),"待填")</f>
        <v>0</v>
      </c>
      <c r="L5" s="44" t="n">
        <f>IFERROR(0+(L39),"待填")</f>
        <v>0</v>
      </c>
      <c r="M5" s="44" t="n">
        <f>IFERROR(0+(M39),"待填")</f>
        <v>0</v>
      </c>
      <c r="N5" s="44" t="n">
        <f>IFERROR(0+(N39),"待填")</f>
        <v>0</v>
      </c>
      <c r="O5" s="44" t="n">
        <f>IFERROR(0+(O39),"待填")</f>
        <v>0</v>
      </c>
      <c r="P5" s="44" t="n">
        <f>IFERROR(0+(P39),"待填")</f>
        <v>0</v>
      </c>
      <c r="Q5" s="44" t="n">
        <f>IFERROR(0+(Q39),"待填")</f>
        <v>0</v>
      </c>
      <c r="R5" s="44" t="n">
        <f>IFERROR(0+(R39),"待填")</f>
        <v>0</v>
      </c>
      <c r="S5" s="44" t="n">
        <f>IFERROR(0+(S39),"待填")</f>
        <v>0</v>
      </c>
    </row>
    <row r="6" ht="18" customHeight="1">
      <c r="A6" s="2"/>
      <c r="B6" s="46" t="str"/>
      <c r="C6" s="57" t="str">
        <v>下面各项加总</v>
      </c>
      <c r="D6" s="44" t="n">
        <f>IFERROR(0+(D40),"待填")</f>
        <v>0</v>
      </c>
      <c r="E6" s="44" t="n">
        <f>IFERROR(0+(E40),"待填")</f>
        <v>0</v>
      </c>
      <c r="F6" s="44" t="n">
        <f>IFERROR(0+(F40),"待填")</f>
        <v>0</v>
      </c>
      <c r="G6" s="44" t="n">
        <f>IFERROR(0+(G40),"待填")</f>
        <v>0</v>
      </c>
      <c r="H6" s="44" t="n">
        <f>IFERROR(0+(H40),"待填")</f>
        <v>0</v>
      </c>
      <c r="I6" s="44" t="n">
        <f>IFERROR(0+(I40),"待填")</f>
        <v>0</v>
      </c>
      <c r="J6" s="44" t="n">
        <f>IFERROR(0+(J40),"待填")</f>
        <v>0</v>
      </c>
      <c r="K6" s="44" t="n">
        <f>IFERROR(0+(K40),"待填")</f>
        <v>0</v>
      </c>
      <c r="L6" s="44" t="n">
        <f>IFERROR(0+(L40),"待填")</f>
        <v>0</v>
      </c>
      <c r="M6" s="44" t="n">
        <f>IFERROR(0+(M40),"待填")</f>
        <v>0</v>
      </c>
      <c r="N6" s="44" t="n">
        <f>IFERROR(0+(N40),"待填")</f>
        <v>0</v>
      </c>
      <c r="O6" s="44" t="n">
        <f>IFERROR(0+(O40),"待填")</f>
        <v>0</v>
      </c>
      <c r="P6" s="44" t="n">
        <f>IFERROR(0+(P40),"待填")</f>
        <v>0</v>
      </c>
      <c r="Q6" s="44" t="n">
        <f>IFERROR(0+(Q40),"待填")</f>
        <v>0</v>
      </c>
      <c r="R6" s="44" t="n">
        <f>IFERROR(0+(R40),"待填")</f>
        <v>0</v>
      </c>
      <c r="S6" s="44" t="n">
        <f>IFERROR(0+(S40),"待填")</f>
        <v>0</v>
      </c>
    </row>
    <row r="7" ht="18" customHeight="1">
      <c r="A7" s="2"/>
      <c r="B7" s="46" t="str"/>
      <c r="C7" s="59" t="str">
        <v>经营损失</v>
      </c>
      <c r="D7" s="44" t="n">
        <f>IFERROR(0+(D41),"待填")</f>
        <v>0</v>
      </c>
      <c r="E7" s="44" t="n">
        <f>IFERROR(0+(E41),"待填")</f>
        <v>0</v>
      </c>
      <c r="F7" s="44" t="n">
        <f>IFERROR(0+(F41),"待填")</f>
        <v>0</v>
      </c>
      <c r="G7" s="44" t="n">
        <f>IFERROR(0+(G41),"待填")</f>
        <v>0</v>
      </c>
      <c r="H7" s="44" t="n">
        <f>IFERROR(0+(H41),"待填")</f>
        <v>0</v>
      </c>
      <c r="I7" s="44" t="n">
        <f>IFERROR(0+(I41),"待填")</f>
        <v>0</v>
      </c>
      <c r="J7" s="44" t="n">
        <f>IFERROR(0+(J41),"待填")</f>
        <v>0</v>
      </c>
      <c r="K7" s="44" t="n">
        <f>IFERROR(0+(K41),"待填")</f>
        <v>0</v>
      </c>
      <c r="L7" s="44" t="n">
        <f>IFERROR(0+(L41),"待填")</f>
        <v>0</v>
      </c>
      <c r="M7" s="44" t="n">
        <f>IFERROR(0+(M41),"待填")</f>
        <v>0</v>
      </c>
      <c r="N7" s="44" t="n">
        <f>IFERROR(0+(N41),"待填")</f>
        <v>0</v>
      </c>
      <c r="O7" s="44" t="n">
        <f>IFERROR(0+(O41),"待填")</f>
        <v>0</v>
      </c>
      <c r="P7" s="44" t="n">
        <f>IFERROR(0+(P41),"待填")</f>
        <v>0</v>
      </c>
      <c r="Q7" s="44" t="n">
        <f>IFERROR(0+(Q41),"待填")</f>
        <v>0</v>
      </c>
      <c r="R7" s="44" t="n">
        <f>IFERROR(0+(R41),"待填")</f>
        <v>0</v>
      </c>
      <c r="S7" s="44" t="n">
        <f>IFERROR(0+(S41),"待填")</f>
        <v>0</v>
      </c>
    </row>
    <row r="8" ht="18" customHeight="1">
      <c r="A8" s="2"/>
      <c r="B8" s="46" t="str"/>
      <c r="C8" s="59" t="str">
        <v>非经营损失</v>
      </c>
      <c r="D8" s="44" t="n">
        <f>IFERROR(0+(D48),"待填")</f>
        <v>0</v>
      </c>
      <c r="E8" s="44" t="n">
        <f>IFERROR(0+(E48),"待填")</f>
        <v>0</v>
      </c>
      <c r="F8" s="44" t="n">
        <f>IFERROR(0+(F48),"待填")</f>
        <v>0</v>
      </c>
      <c r="G8" s="44" t="n">
        <f>IFERROR(0+(G48),"待填")</f>
        <v>0</v>
      </c>
      <c r="H8" s="44" t="n">
        <f>IFERROR(0+(H48),"待填")</f>
        <v>0</v>
      </c>
      <c r="I8" s="44" t="n">
        <f>IFERROR(0+(I48),"待填")</f>
        <v>0</v>
      </c>
      <c r="J8" s="44" t="n">
        <f>IFERROR(0+(J48),"待填")</f>
        <v>0</v>
      </c>
      <c r="K8" s="44" t="n">
        <f>IFERROR(0+(K48),"待填")</f>
        <v>0</v>
      </c>
      <c r="L8" s="44" t="n">
        <f>IFERROR(0+(L48),"待填")</f>
        <v>0</v>
      </c>
      <c r="M8" s="44" t="n">
        <f>IFERROR(0+(M48),"待填")</f>
        <v>0</v>
      </c>
      <c r="N8" s="44" t="n">
        <f>IFERROR(0+(N48),"待填")</f>
        <v>0</v>
      </c>
      <c r="O8" s="44" t="n">
        <f>IFERROR(0+(O48),"待填")</f>
        <v>0</v>
      </c>
      <c r="P8" s="44" t="n">
        <f>IFERROR(0+(P48),"待填")</f>
        <v>0</v>
      </c>
      <c r="Q8" s="44" t="n">
        <f>IFERROR(0+(Q48),"待填")</f>
        <v>0</v>
      </c>
      <c r="R8" s="44" t="n">
        <f>IFERROR(0+(R48),"待填")</f>
        <v>0</v>
      </c>
      <c r="S8" s="44" t="n">
        <f>IFERROR(0+(S48),"待填")</f>
        <v>0</v>
      </c>
    </row>
    <row r="9" ht="18" customHeight="1">
      <c r="A9" s="2"/>
      <c r="B9" s="46" t="str"/>
      <c r="C9" s="59" t="str">
        <v>业务费用（给广泛第三方的钱）</v>
      </c>
      <c r="D9" s="44" t="n">
        <f>IFERROR(0+(D49),"待填")</f>
        <v>0</v>
      </c>
      <c r="E9" s="44" t="n">
        <f>IFERROR(0+(E49),"待填")</f>
        <v>0</v>
      </c>
      <c r="F9" s="44" t="n">
        <f>IFERROR(0+(F49),"待填")</f>
        <v>0</v>
      </c>
      <c r="G9" s="44" t="n">
        <f>IFERROR(0+(G49),"待填")</f>
        <v>0</v>
      </c>
      <c r="H9" s="44" t="n">
        <f>IFERROR(0+(H49),"待填")</f>
        <v>0</v>
      </c>
      <c r="I9" s="44" t="n">
        <f>IFERROR(0+(I49),"待填")</f>
        <v>0</v>
      </c>
      <c r="J9" s="44" t="n">
        <f>IFERROR(0+(J49),"待填")</f>
        <v>0</v>
      </c>
      <c r="K9" s="44" t="n">
        <f>IFERROR(0+(K49),"待填")</f>
        <v>0</v>
      </c>
      <c r="L9" s="44" t="n">
        <f>IFERROR(0+(L49),"待填")</f>
        <v>0</v>
      </c>
      <c r="M9" s="44" t="n">
        <f>IFERROR(0+(M49),"待填")</f>
        <v>0</v>
      </c>
      <c r="N9" s="44" t="n">
        <f>IFERROR(0+(N49),"待填")</f>
        <v>0</v>
      </c>
      <c r="O9" s="44" t="n">
        <f>IFERROR(0+(O49),"待填")</f>
        <v>0</v>
      </c>
      <c r="P9" s="44" t="n">
        <f>IFERROR(0+(P49),"待填")</f>
        <v>0</v>
      </c>
      <c r="Q9" s="44" t="n">
        <f>IFERROR(0+(Q49),"待填")</f>
        <v>0</v>
      </c>
      <c r="R9" s="44" t="n">
        <f>IFERROR(0+(R49),"待填")</f>
        <v>0</v>
      </c>
      <c r="S9" s="44" t="n">
        <f>IFERROR(0+(S49),"待填")</f>
        <v>0</v>
      </c>
    </row>
    <row r="10" ht="18" customHeight="1">
      <c r="A10" s="2"/>
      <c r="B10" s="46" t="str"/>
      <c r="C10" s="59" t="str">
        <v>售后服务费（给客户预备的钱，原隶属于销售费用）</v>
      </c>
      <c r="D10" s="44" t="n">
        <f>IFERROR(0+(D51),"待填")</f>
        <v>0</v>
      </c>
      <c r="E10" s="44" t="n">
        <f>IFERROR(0+(E51),"待填")</f>
        <v>0</v>
      </c>
      <c r="F10" s="44" t="n">
        <f>IFERROR(0+(F51),"待填")</f>
        <v>0</v>
      </c>
      <c r="G10" s="44" t="n">
        <f>IFERROR(0+(G51),"待填")</f>
        <v>0</v>
      </c>
      <c r="H10" s="44" t="n">
        <f>IFERROR(0+(H51),"待填")</f>
        <v>0</v>
      </c>
      <c r="I10" s="44" t="n">
        <f>IFERROR(0+(I51),"待填")</f>
        <v>0</v>
      </c>
      <c r="J10" s="44" t="n">
        <f>IFERROR(0+(J51),"待填")</f>
        <v>0</v>
      </c>
      <c r="K10" s="44" t="n">
        <f>IFERROR(0+(K51),"待填")</f>
        <v>0</v>
      </c>
      <c r="L10" s="44" t="n">
        <f>IFERROR(0+(L51),"待填")</f>
        <v>0</v>
      </c>
      <c r="M10" s="44" t="n">
        <f>IFERROR(0+(M51),"待填")</f>
        <v>0</v>
      </c>
      <c r="N10" s="44" t="n">
        <f>IFERROR(0+(N51),"待填")</f>
        <v>0</v>
      </c>
      <c r="O10" s="44" t="n">
        <f>IFERROR(0+(O51),"待填")</f>
        <v>0</v>
      </c>
      <c r="P10" s="44" t="n">
        <f>IFERROR(0+(P51),"待填")</f>
        <v>0</v>
      </c>
      <c r="Q10" s="44" t="n">
        <f>IFERROR(0+(Q51),"待填")</f>
        <v>0</v>
      </c>
      <c r="R10" s="44" t="n">
        <f>IFERROR(0+(R51),"待填")</f>
        <v>0</v>
      </c>
      <c r="S10" s="44" t="n">
        <f>IFERROR(0+(S51),"待填")</f>
        <v>0</v>
      </c>
    </row>
    <row r="11" ht="18" customHeight="1">
      <c r="A11" s="2"/>
      <c r="B11" s="46" t="str"/>
      <c r="C11" s="59" t="str">
        <v>员工薪酬</v>
      </c>
      <c r="D11" s="44" t="n">
        <f>IFERROR(0+(D72),"待填")</f>
        <v>0</v>
      </c>
      <c r="E11" s="44" t="n">
        <f>IFERROR(0+(E72),"待填")</f>
        <v>0</v>
      </c>
      <c r="F11" s="44" t="n">
        <f>IFERROR(0+(F72),"待填")</f>
        <v>0</v>
      </c>
      <c r="G11" s="44" t="n">
        <f>IFERROR(0+(G72),"待填")</f>
        <v>0</v>
      </c>
      <c r="H11" s="44" t="n">
        <f>IFERROR(0+(H72),"待填")</f>
        <v>0</v>
      </c>
      <c r="I11" s="44" t="n">
        <f>IFERROR(0+(I72),"待填")</f>
        <v>0</v>
      </c>
      <c r="J11" s="44" t="n">
        <f>IFERROR(0+(J72),"待填")</f>
        <v>0</v>
      </c>
      <c r="K11" s="44" t="n">
        <f>IFERROR(0+(K72),"待填")</f>
        <v>0</v>
      </c>
      <c r="L11" s="44" t="n">
        <f>IFERROR(0+(L72),"待填")</f>
        <v>0</v>
      </c>
      <c r="M11" s="44" t="n">
        <f>IFERROR(0+(M72),"待填")</f>
        <v>0</v>
      </c>
      <c r="N11" s="44" t="n">
        <f>IFERROR(0+(N72),"待填")</f>
        <v>0</v>
      </c>
      <c r="O11" s="44" t="n">
        <f>IFERROR(0+(O72),"待填")</f>
        <v>0</v>
      </c>
      <c r="P11" s="44" t="n">
        <f>IFERROR(0+(P72),"待填")</f>
        <v>0</v>
      </c>
      <c r="Q11" s="44" t="n">
        <f>IFERROR(0+(Q72),"待填")</f>
        <v>0</v>
      </c>
      <c r="R11" s="44" t="n">
        <f>IFERROR(0+(R72),"待填")</f>
        <v>0</v>
      </c>
      <c r="S11" s="44" t="n">
        <f>IFERROR(0+(S72),"待填")</f>
        <v>0</v>
      </c>
    </row>
    <row r="12" ht="18" customHeight="1">
      <c r="A12" s="2"/>
      <c r="B12" s="46" t="str"/>
      <c r="C12" s="59" t="str">
        <v>供应商（含委外加工）</v>
      </c>
      <c r="D12" s="44" t="n">
        <f>IFERROR(0+(D91),"待填")</f>
        <v>0</v>
      </c>
      <c r="E12" s="44" t="n">
        <f>IFERROR(0+(E91),"待填")</f>
        <v>0</v>
      </c>
      <c r="F12" s="44" t="n">
        <f>IFERROR(0+(F91),"待填")</f>
        <v>0</v>
      </c>
      <c r="G12" s="44" t="n">
        <f>IFERROR(0+(G91),"待填")</f>
        <v>0</v>
      </c>
      <c r="H12" s="44" t="n">
        <f>IFERROR(0+(H91),"待填")</f>
        <v>0</v>
      </c>
      <c r="I12" s="44" t="n">
        <f>IFERROR(0+(I91),"待填")</f>
        <v>0</v>
      </c>
      <c r="J12" s="44" t="n">
        <f>IFERROR(0+(J91),"待填")</f>
        <v>0</v>
      </c>
      <c r="K12" s="44" t="n">
        <f>IFERROR(0+(K91),"待填")</f>
        <v>0</v>
      </c>
      <c r="L12" s="44" t="n">
        <f>IFERROR(0+(L91),"待填")</f>
        <v>0</v>
      </c>
      <c r="M12" s="44" t="n">
        <f>IFERROR(0+(M91),"待填")</f>
        <v>0</v>
      </c>
      <c r="N12" s="44" t="n">
        <f>IFERROR(0+(N91),"待填")</f>
        <v>0</v>
      </c>
      <c r="O12" s="44" t="n">
        <f>IFERROR(0+(O91),"待填")</f>
        <v>0</v>
      </c>
      <c r="P12" s="44" t="n">
        <f>IFERROR(0+(P91),"待填")</f>
        <v>0</v>
      </c>
      <c r="Q12" s="44" t="n">
        <f>IFERROR(0+(Q91),"待填")</f>
        <v>0</v>
      </c>
      <c r="R12" s="44" t="n">
        <f>IFERROR(0+(R91),"待填")</f>
        <v>0</v>
      </c>
      <c r="S12" s="44" t="n">
        <f>IFERROR(0+(S91),"待填")</f>
        <v>0</v>
      </c>
    </row>
    <row r="13" ht="18" customHeight="1">
      <c r="A13" s="2"/>
      <c r="B13" s="46" t="str"/>
      <c r="C13" s="59" t="str">
        <v>银行</v>
      </c>
      <c r="D13" s="44" t="n">
        <f>IFERROR(0+(D92),"待填")</f>
        <v>0</v>
      </c>
      <c r="E13" s="44" t="n">
        <f>IFERROR(0+(E92),"待填")</f>
        <v>0</v>
      </c>
      <c r="F13" s="44" t="n">
        <f>IFERROR(0+(F92),"待填")</f>
        <v>0</v>
      </c>
      <c r="G13" s="44" t="n">
        <f>IFERROR(0+(G92),"待填")</f>
        <v>0</v>
      </c>
      <c r="H13" s="44" t="n">
        <f>IFERROR(0+(H92),"待填")</f>
        <v>0</v>
      </c>
      <c r="I13" s="44" t="n">
        <f>IFERROR(0+(I92),"待填")</f>
        <v>0</v>
      </c>
      <c r="J13" s="44" t="n">
        <f>IFERROR(0+(J92),"待填")</f>
        <v>0</v>
      </c>
      <c r="K13" s="44" t="n">
        <f>IFERROR(0+(K92),"待填")</f>
        <v>0</v>
      </c>
      <c r="L13" s="44" t="n">
        <f>IFERROR(0+(L92),"待填")</f>
        <v>0</v>
      </c>
      <c r="M13" s="44" t="n">
        <f>IFERROR(0+(M92),"待填")</f>
        <v>0</v>
      </c>
      <c r="N13" s="44" t="n">
        <f>IFERROR(0+(N92),"待填")</f>
        <v>0</v>
      </c>
      <c r="O13" s="44" t="n">
        <f>IFERROR(0+(O92),"待填")</f>
        <v>0</v>
      </c>
      <c r="P13" s="44" t="n">
        <f>IFERROR(0+(P92),"待填")</f>
        <v>0</v>
      </c>
      <c r="Q13" s="44" t="n">
        <f>IFERROR(0+(Q92),"待填")</f>
        <v>0</v>
      </c>
      <c r="R13" s="44" t="n">
        <f>IFERROR(0+(R92),"待填")</f>
        <v>0</v>
      </c>
      <c r="S13" s="44" t="n">
        <f>IFERROR(0+(S92),"待填")</f>
        <v>0</v>
      </c>
    </row>
    <row r="14" ht="18" customHeight="1">
      <c r="A14" s="2"/>
      <c r="B14" s="46" t="str"/>
      <c r="C14" s="59" t="str">
        <v>政府</v>
      </c>
      <c r="D14" s="44" t="n">
        <f>IFERROR(0+(D93),"待填")</f>
        <v>0</v>
      </c>
      <c r="E14" s="44" t="n">
        <f>IFERROR(0+(E93),"待填")</f>
        <v>0</v>
      </c>
      <c r="F14" s="44" t="n">
        <f>IFERROR(0+(F93),"待填")</f>
        <v>0</v>
      </c>
      <c r="G14" s="44" t="n">
        <f>IFERROR(0+(G93),"待填")</f>
        <v>0</v>
      </c>
      <c r="H14" s="44" t="n">
        <f>IFERROR(0+(H93),"待填")</f>
        <v>0</v>
      </c>
      <c r="I14" s="44" t="n">
        <f>IFERROR(0+(I93),"待填")</f>
        <v>0</v>
      </c>
      <c r="J14" s="44" t="n">
        <f>IFERROR(0+(J93),"待填")</f>
        <v>0</v>
      </c>
      <c r="K14" s="44" t="n">
        <f>IFERROR(0+(K93),"待填")</f>
        <v>0</v>
      </c>
      <c r="L14" s="44" t="n">
        <f>IFERROR(0+(L93),"待填")</f>
        <v>0</v>
      </c>
      <c r="M14" s="44" t="n">
        <f>IFERROR(0+(M93),"待填")</f>
        <v>0</v>
      </c>
      <c r="N14" s="44" t="n">
        <f>IFERROR(0+(N93),"待填")</f>
        <v>0</v>
      </c>
      <c r="O14" s="44" t="n">
        <f>IFERROR(0+(O93),"待填")</f>
        <v>0</v>
      </c>
      <c r="P14" s="44" t="n">
        <f>IFERROR(0+(P93),"待填")</f>
        <v>0</v>
      </c>
      <c r="Q14" s="44" t="n">
        <f>IFERROR(0+(Q93),"待填")</f>
        <v>0</v>
      </c>
      <c r="R14" s="44" t="n">
        <f>IFERROR(0+(R93),"待填")</f>
        <v>0</v>
      </c>
      <c r="S14" s="44" t="n">
        <f>IFERROR(0+(S93),"待填")</f>
        <v>0</v>
      </c>
    </row>
    <row r="15" ht="18" customHeight="1">
      <c r="A15" s="2"/>
      <c r="B15" s="46" t="str"/>
      <c r="C15" s="59" t="str">
        <v>折旧</v>
      </c>
      <c r="D15" s="44" t="n">
        <f>IFERROR(0+(D96),"待填")</f>
        <v>0</v>
      </c>
      <c r="E15" s="44" t="n">
        <f>IFERROR(0+(E96),"待填")</f>
        <v>0</v>
      </c>
      <c r="F15" s="44" t="n">
        <f>IFERROR(0+(F96),"待填")</f>
        <v>0</v>
      </c>
      <c r="G15" s="44" t="n">
        <f>IFERROR(0+(G96),"待填")</f>
        <v>0</v>
      </c>
      <c r="H15" s="44" t="n">
        <f>IFERROR(0+(H96),"待填")</f>
        <v>0</v>
      </c>
      <c r="I15" s="44" t="n">
        <f>IFERROR(0+(I96),"待填")</f>
        <v>0</v>
      </c>
      <c r="J15" s="44" t="n">
        <f>IFERROR(0+(J96),"待填")</f>
        <v>0</v>
      </c>
      <c r="K15" s="44" t="n">
        <f>IFERROR(0+(K96),"待填")</f>
        <v>0</v>
      </c>
      <c r="L15" s="44" t="n">
        <f>IFERROR(0+(L96),"待填")</f>
        <v>0</v>
      </c>
      <c r="M15" s="44" t="n">
        <f>IFERROR(0+(M96),"待填")</f>
        <v>0</v>
      </c>
      <c r="N15" s="44" t="n">
        <f>IFERROR(0+(N96),"待填")</f>
        <v>0</v>
      </c>
      <c r="O15" s="44" t="n">
        <f>IFERROR(0+(O96),"待填")</f>
        <v>0</v>
      </c>
      <c r="P15" s="44" t="n">
        <f>IFERROR(0+(P96),"待填")</f>
        <v>0</v>
      </c>
      <c r="Q15" s="44" t="n">
        <f>IFERROR(0+(Q96),"待填")</f>
        <v>0</v>
      </c>
      <c r="R15" s="44" t="n">
        <f>IFERROR(0+(R96),"待填")</f>
        <v>0</v>
      </c>
      <c r="S15" s="44" t="n">
        <f>IFERROR(0+(S96),"待填")</f>
        <v>0</v>
      </c>
    </row>
    <row r="16" ht="18" customHeight="1">
      <c r="A16" s="2"/>
      <c r="B16" s="46" t="str"/>
      <c r="C16" s="59" t="str">
        <v>摊销</v>
      </c>
      <c r="D16" s="44" t="n">
        <f>IFERROR(0+(D97),"待填")</f>
        <v>0</v>
      </c>
      <c r="E16" s="44" t="n">
        <f>IFERROR(0+(E97),"待填")</f>
        <v>0</v>
      </c>
      <c r="F16" s="44" t="n">
        <f>IFERROR(0+(F97),"待填")</f>
        <v>0</v>
      </c>
      <c r="G16" s="44" t="n">
        <f>IFERROR(0+(G97),"待填")</f>
        <v>0</v>
      </c>
      <c r="H16" s="44" t="n">
        <f>IFERROR(0+(H97),"待填")</f>
        <v>0</v>
      </c>
      <c r="I16" s="44" t="n">
        <f>IFERROR(0+(I97),"待填")</f>
        <v>0</v>
      </c>
      <c r="J16" s="44" t="n">
        <f>IFERROR(0+(J97),"待填")</f>
        <v>0</v>
      </c>
      <c r="K16" s="44" t="n">
        <f>IFERROR(0+(K97),"待填")</f>
        <v>0</v>
      </c>
      <c r="L16" s="44" t="n">
        <f>IFERROR(0+(L97),"待填")</f>
        <v>0</v>
      </c>
      <c r="M16" s="44" t="n">
        <f>IFERROR(0+(M97),"待填")</f>
        <v>0</v>
      </c>
      <c r="N16" s="44" t="n">
        <f>IFERROR(0+(N97),"待填")</f>
        <v>0</v>
      </c>
      <c r="O16" s="44" t="n">
        <f>IFERROR(0+(O97),"待填")</f>
        <v>0</v>
      </c>
      <c r="P16" s="44" t="n">
        <f>IFERROR(0+(P97),"待填")</f>
        <v>0</v>
      </c>
      <c r="Q16" s="44" t="n">
        <f>IFERROR(0+(Q97),"待填")</f>
        <v>0</v>
      </c>
      <c r="R16" s="44" t="n">
        <f>IFERROR(0+(R97),"待填")</f>
        <v>0</v>
      </c>
      <c r="S16" s="44" t="n">
        <f>IFERROR(0+(S97),"待填")</f>
        <v>0</v>
      </c>
    </row>
    <row r="17" ht="18" customHeight="1">
      <c r="A17" s="2"/>
      <c r="B17" s="46" t="str"/>
      <c r="C17" s="59" t="str">
        <v>净利润-少数股东</v>
      </c>
      <c r="D17" s="44" t="n">
        <f>IFERROR(0+(D101),"待填")</f>
        <v>0</v>
      </c>
      <c r="E17" s="44" t="n">
        <f>IFERROR(0+(E101),"待填")</f>
        <v>0</v>
      </c>
      <c r="F17" s="44" t="n">
        <f>IFERROR(0+(F101),"待填")</f>
        <v>0</v>
      </c>
      <c r="G17" s="44" t="n">
        <f>IFERROR(0+(G101),"待填")</f>
        <v>0</v>
      </c>
      <c r="H17" s="44" t="n">
        <f>IFERROR(0+(H101),"待填")</f>
        <v>0</v>
      </c>
      <c r="I17" s="44" t="n">
        <f>IFERROR(0+(I101),"待填")</f>
        <v>0</v>
      </c>
      <c r="J17" s="44" t="n">
        <f>IFERROR(0+(J101),"待填")</f>
        <v>0</v>
      </c>
      <c r="K17" s="44" t="n">
        <f>IFERROR(0+(K101),"待填")</f>
        <v>0</v>
      </c>
      <c r="L17" s="44" t="n">
        <f>IFERROR(0+(L101),"待填")</f>
        <v>0</v>
      </c>
      <c r="M17" s="44" t="n">
        <f>IFERROR(0+(M101),"待填")</f>
        <v>0</v>
      </c>
      <c r="N17" s="44" t="n">
        <f>IFERROR(0+(N101),"待填")</f>
        <v>0</v>
      </c>
      <c r="O17" s="44" t="n">
        <f>IFERROR(0+(O101),"待填")</f>
        <v>0</v>
      </c>
      <c r="P17" s="44" t="n">
        <f>IFERROR(0+(P101),"待填")</f>
        <v>0</v>
      </c>
      <c r="Q17" s="44" t="n">
        <f>IFERROR(0+(Q101),"待填")</f>
        <v>0</v>
      </c>
      <c r="R17" s="44" t="n">
        <f>IFERROR(0+(R101),"待填")</f>
        <v>0</v>
      </c>
      <c r="S17" s="44" t="n">
        <f>IFERROR(0+(S101),"待填")</f>
        <v>0</v>
      </c>
    </row>
    <row r="18" ht="18" customHeight="1">
      <c r="A18" s="2"/>
      <c r="B18" s="46" t="str"/>
      <c r="C18" s="59" t="str">
        <v>净利润-母公司股东</v>
      </c>
      <c r="D18" s="44" t="n">
        <f>IFERROR(0+(D102),"待填")</f>
        <v>0</v>
      </c>
      <c r="E18" s="44" t="n">
        <f>IFERROR(0+(E102),"待填")</f>
        <v>0</v>
      </c>
      <c r="F18" s="44" t="n">
        <f>IFERROR(0+(F102),"待填")</f>
        <v>0</v>
      </c>
      <c r="G18" s="44" t="n">
        <f>IFERROR(0+(G102),"待填")</f>
        <v>0</v>
      </c>
      <c r="H18" s="44" t="n">
        <f>IFERROR(0+(H102),"待填")</f>
        <v>0</v>
      </c>
      <c r="I18" s="44" t="n">
        <f>IFERROR(0+(I102),"待填")</f>
        <v>0</v>
      </c>
      <c r="J18" s="44" t="n">
        <f>IFERROR(0+(J102),"待填")</f>
        <v>0</v>
      </c>
      <c r="K18" s="44" t="n">
        <f>IFERROR(0+(K102),"待填")</f>
        <v>0</v>
      </c>
      <c r="L18" s="44" t="n">
        <f>IFERROR(0+(L102),"待填")</f>
        <v>0</v>
      </c>
      <c r="M18" s="44" t="n">
        <f>IFERROR(0+(M102),"待填")</f>
        <v>0</v>
      </c>
      <c r="N18" s="44" t="n">
        <f>IFERROR(0+(N102),"待填")</f>
        <v>0</v>
      </c>
      <c r="O18" s="44" t="n">
        <f>IFERROR(0+(O102),"待填")</f>
        <v>0</v>
      </c>
      <c r="P18" s="44" t="n">
        <f>IFERROR(0+(P102),"待填")</f>
        <v>0</v>
      </c>
      <c r="Q18" s="44" t="n">
        <f>IFERROR(0+(Q102),"待填")</f>
        <v>0</v>
      </c>
      <c r="R18" s="44" t="n">
        <f>IFERROR(0+(R102),"待填")</f>
        <v>0</v>
      </c>
      <c r="S18" s="44" t="n">
        <f>IFERROR(0+(S102),"待填")</f>
        <v>0</v>
      </c>
    </row>
    <row r="19" ht="18" customHeight="1">
      <c r="A19" s="2"/>
      <c r="B19" s="46" t="str"/>
      <c r="C19" s="2" t="str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ht="21" customHeight="1">
      <c r="A20" s="2"/>
      <c r="B20" s="46" t="str">
        <v>计算方法备注</v>
      </c>
      <c r="C20" s="54" t="str">
        <v>项目占比</v>
      </c>
      <c r="D20" s="55" t="str">
        <v>2010年</v>
      </c>
      <c r="E20" s="55" t="str">
        <v>2011年</v>
      </c>
      <c r="F20" s="55" t="str">
        <v>2012年</v>
      </c>
      <c r="G20" s="55" t="str">
        <v>2013年</v>
      </c>
      <c r="H20" s="55" t="str">
        <v>2014年</v>
      </c>
      <c r="I20" s="55" t="str">
        <v>2015年</v>
      </c>
      <c r="J20" s="55" t="str">
        <v>2016年</v>
      </c>
      <c r="K20" s="55" t="str">
        <v>2017年</v>
      </c>
      <c r="L20" s="55" t="str">
        <v>2018年</v>
      </c>
      <c r="M20" s="55" t="str">
        <v>2019年</v>
      </c>
      <c r="N20" s="55" t="str">
        <v>2020年</v>
      </c>
      <c r="O20" s="55" t="str">
        <v>2021年</v>
      </c>
      <c r="P20" s="55" t="str">
        <v>2022年</v>
      </c>
      <c r="Q20" s="55" t="str">
        <v>2023年</v>
      </c>
      <c r="R20" s="55" t="str">
        <v>2024年</v>
      </c>
      <c r="S20" s="55" t="str">
        <v>2025年</v>
      </c>
    </row>
    <row r="21" ht="18" customHeight="1">
      <c r="A21" s="2"/>
      <c r="B21" s="46" t="str"/>
      <c r="C21" s="57" t="str">
        <v>收入</v>
      </c>
      <c r="D21" s="61" t="str">
        <f>IFERROR(0+(D5/D5),"待填")</f>
        <v>待填</v>
      </c>
      <c r="E21" s="61" t="str">
        <f>IFERROR(0+(E5/E5),"待填")</f>
        <v>待填</v>
      </c>
      <c r="F21" s="61" t="str">
        <f>IFERROR(0+(F5/F5),"待填")</f>
        <v>待填</v>
      </c>
      <c r="G21" s="61" t="str">
        <f>IFERROR(0+(G5/G5),"待填")</f>
        <v>待填</v>
      </c>
      <c r="H21" s="61" t="str">
        <f>IFERROR(0+(H5/H5),"待填")</f>
        <v>待填</v>
      </c>
      <c r="I21" s="61" t="str">
        <f>IFERROR(0+(I5/I5),"待填")</f>
        <v>待填</v>
      </c>
      <c r="J21" s="61" t="str">
        <f>IFERROR(0+(J5/J5),"待填")</f>
        <v>待填</v>
      </c>
      <c r="K21" s="61" t="str">
        <f>IFERROR(0+(K5/K5),"待填")</f>
        <v>待填</v>
      </c>
      <c r="L21" s="61" t="str">
        <f>IFERROR(0+(L5/L5),"待填")</f>
        <v>待填</v>
      </c>
      <c r="M21" s="61" t="str">
        <f>IFERROR(0+(M5/M5),"待填")</f>
        <v>待填</v>
      </c>
      <c r="N21" s="61" t="str">
        <f>IFERROR(0+(N5/N5),"待填")</f>
        <v>待填</v>
      </c>
      <c r="O21" s="61" t="str">
        <f>IFERROR(0+(O5/O5),"待填")</f>
        <v>待填</v>
      </c>
      <c r="P21" s="61" t="str">
        <f>IFERROR(0+(P5/P5),"待填")</f>
        <v>待填</v>
      </c>
      <c r="Q21" s="61" t="str">
        <f>IFERROR(0+(Q5/Q5),"待填")</f>
        <v>待填</v>
      </c>
      <c r="R21" s="61" t="str">
        <f>IFERROR(0+(R5/R5),"待填")</f>
        <v>待填</v>
      </c>
      <c r="S21" s="61" t="str">
        <f>IFERROR(0+(S5/S5),"待填")</f>
        <v>待填</v>
      </c>
    </row>
    <row r="22" ht="18" customHeight="1">
      <c r="A22" s="2"/>
      <c r="B22" s="46" t="str"/>
      <c r="C22" s="57" t="str">
        <v>下面各项加总</v>
      </c>
      <c r="D22" s="61" t="str">
        <f>IFERROR(0+(D6/D5),"待填")</f>
        <v>待填</v>
      </c>
      <c r="E22" s="61" t="str">
        <f>IFERROR(0+(E6/E5),"待填")</f>
        <v>待填</v>
      </c>
      <c r="F22" s="61" t="str">
        <f>IFERROR(0+(F6/F5),"待填")</f>
        <v>待填</v>
      </c>
      <c r="G22" s="61" t="str">
        <f>IFERROR(0+(G6/G5),"待填")</f>
        <v>待填</v>
      </c>
      <c r="H22" s="61" t="str">
        <f>IFERROR(0+(H6/H5),"待填")</f>
        <v>待填</v>
      </c>
      <c r="I22" s="61" t="str">
        <f>IFERROR(0+(I6/I5),"待填")</f>
        <v>待填</v>
      </c>
      <c r="J22" s="61" t="str">
        <f>IFERROR(0+(J6/J5),"待填")</f>
        <v>待填</v>
      </c>
      <c r="K22" s="61" t="str">
        <f>IFERROR(0+(K6/K5),"待填")</f>
        <v>待填</v>
      </c>
      <c r="L22" s="61" t="str">
        <f>IFERROR(0+(L6/L5),"待填")</f>
        <v>待填</v>
      </c>
      <c r="M22" s="61" t="str">
        <f>IFERROR(0+(M6/M5),"待填")</f>
        <v>待填</v>
      </c>
      <c r="N22" s="61" t="str">
        <f>IFERROR(0+(N6/N5),"待填")</f>
        <v>待填</v>
      </c>
      <c r="O22" s="61" t="str">
        <f>IFERROR(0+(O6/O5),"待填")</f>
        <v>待填</v>
      </c>
      <c r="P22" s="61" t="str">
        <f>IFERROR(0+(P6/P5),"待填")</f>
        <v>待填</v>
      </c>
      <c r="Q22" s="61" t="str">
        <f>IFERROR(0+(Q6/Q5),"待填")</f>
        <v>待填</v>
      </c>
      <c r="R22" s="61" t="str">
        <f>IFERROR(0+(R6/R5),"待填")</f>
        <v>待填</v>
      </c>
      <c r="S22" s="61" t="str">
        <f>IFERROR(0+(S6/S5),"待填")</f>
        <v>待填</v>
      </c>
    </row>
    <row r="23" ht="18" customHeight="1">
      <c r="A23" s="2"/>
      <c r="B23" s="46" t="str"/>
      <c r="C23" s="59" t="str">
        <v>经营损失</v>
      </c>
      <c r="D23" s="61" t="str">
        <f>IFERROR(0+(D7/D5),"待填")</f>
        <v>待填</v>
      </c>
      <c r="E23" s="61" t="str">
        <f>IFERROR(0+(E7/E5),"待填")</f>
        <v>待填</v>
      </c>
      <c r="F23" s="61" t="str">
        <f>IFERROR(0+(F7/F5),"待填")</f>
        <v>待填</v>
      </c>
      <c r="G23" s="61" t="str">
        <f>IFERROR(0+(G7/G5),"待填")</f>
        <v>待填</v>
      </c>
      <c r="H23" s="61" t="str">
        <f>IFERROR(0+(H7/H5),"待填")</f>
        <v>待填</v>
      </c>
      <c r="I23" s="61" t="str">
        <f>IFERROR(0+(I7/I5),"待填")</f>
        <v>待填</v>
      </c>
      <c r="J23" s="61" t="str">
        <f>IFERROR(0+(J7/J5),"待填")</f>
        <v>待填</v>
      </c>
      <c r="K23" s="61" t="str">
        <f>IFERROR(0+(K7/K5),"待填")</f>
        <v>待填</v>
      </c>
      <c r="L23" s="61" t="str">
        <f>IFERROR(0+(L7/L5),"待填")</f>
        <v>待填</v>
      </c>
      <c r="M23" s="61" t="str">
        <f>IFERROR(0+(M7/M5),"待填")</f>
        <v>待填</v>
      </c>
      <c r="N23" s="61" t="str">
        <f>IFERROR(0+(N7/N5),"待填")</f>
        <v>待填</v>
      </c>
      <c r="O23" s="61" t="str">
        <f>IFERROR(0+(O7/O5),"待填")</f>
        <v>待填</v>
      </c>
      <c r="P23" s="61" t="str">
        <f>IFERROR(0+(P7/P5),"待填")</f>
        <v>待填</v>
      </c>
      <c r="Q23" s="61" t="str">
        <f>IFERROR(0+(Q7/Q5),"待填")</f>
        <v>待填</v>
      </c>
      <c r="R23" s="61" t="str">
        <f>IFERROR(0+(R7/R5),"待填")</f>
        <v>待填</v>
      </c>
      <c r="S23" s="61" t="str">
        <f>IFERROR(0+(S7/S5),"待填")</f>
        <v>待填</v>
      </c>
    </row>
    <row r="24" ht="18" customHeight="1">
      <c r="A24" s="2"/>
      <c r="B24" s="46" t="str"/>
      <c r="C24" s="59" t="str">
        <v>非经营损失</v>
      </c>
      <c r="D24" s="61" t="str">
        <f>IFERROR(0+(D8/D5),"待填")</f>
        <v>待填</v>
      </c>
      <c r="E24" s="61" t="str">
        <f>IFERROR(0+(E8/E5),"待填")</f>
        <v>待填</v>
      </c>
      <c r="F24" s="61" t="str">
        <f>IFERROR(0+(F8/F5),"待填")</f>
        <v>待填</v>
      </c>
      <c r="G24" s="61" t="str">
        <f>IFERROR(0+(G8/G5),"待填")</f>
        <v>待填</v>
      </c>
      <c r="H24" s="61" t="str">
        <f>IFERROR(0+(H8/H5),"待填")</f>
        <v>待填</v>
      </c>
      <c r="I24" s="61" t="str">
        <f>IFERROR(0+(I8/I5),"待填")</f>
        <v>待填</v>
      </c>
      <c r="J24" s="61" t="str">
        <f>IFERROR(0+(J8/J5),"待填")</f>
        <v>待填</v>
      </c>
      <c r="K24" s="61" t="str">
        <f>IFERROR(0+(K8/K5),"待填")</f>
        <v>待填</v>
      </c>
      <c r="L24" s="61" t="str">
        <f>IFERROR(0+(L8/L5),"待填")</f>
        <v>待填</v>
      </c>
      <c r="M24" s="61" t="str">
        <f>IFERROR(0+(M8/M5),"待填")</f>
        <v>待填</v>
      </c>
      <c r="N24" s="61" t="str">
        <f>IFERROR(0+(N8/N5),"待填")</f>
        <v>待填</v>
      </c>
      <c r="O24" s="61" t="str">
        <f>IFERROR(0+(O8/O5),"待填")</f>
        <v>待填</v>
      </c>
      <c r="P24" s="61" t="str">
        <f>IFERROR(0+(P8/P5),"待填")</f>
        <v>待填</v>
      </c>
      <c r="Q24" s="61" t="str">
        <f>IFERROR(0+(Q8/Q5),"待填")</f>
        <v>待填</v>
      </c>
      <c r="R24" s="61" t="str">
        <f>IFERROR(0+(R8/R5),"待填")</f>
        <v>待填</v>
      </c>
      <c r="S24" s="61" t="str">
        <f>IFERROR(0+(S8/S5),"待填")</f>
        <v>待填</v>
      </c>
    </row>
    <row r="25" ht="18" customHeight="1">
      <c r="A25" s="2"/>
      <c r="B25" s="46" t="str"/>
      <c r="C25" s="59" t="str">
        <v>业务费用（给广泛第三方的钱）</v>
      </c>
      <c r="D25" s="61" t="str">
        <f>IFERROR(0+(D9/D5),"待填")</f>
        <v>待填</v>
      </c>
      <c r="E25" s="61" t="str">
        <f>IFERROR(0+(E9/E5),"待填")</f>
        <v>待填</v>
      </c>
      <c r="F25" s="61" t="str">
        <f>IFERROR(0+(F9/F5),"待填")</f>
        <v>待填</v>
      </c>
      <c r="G25" s="61" t="str">
        <f>IFERROR(0+(G9/G5),"待填")</f>
        <v>待填</v>
      </c>
      <c r="H25" s="61" t="str">
        <f>IFERROR(0+(H9/H5),"待填")</f>
        <v>待填</v>
      </c>
      <c r="I25" s="61" t="str">
        <f>IFERROR(0+(I9/I5),"待填")</f>
        <v>待填</v>
      </c>
      <c r="J25" s="61" t="str">
        <f>IFERROR(0+(J9/J5),"待填")</f>
        <v>待填</v>
      </c>
      <c r="K25" s="61" t="str">
        <f>IFERROR(0+(K9/K5),"待填")</f>
        <v>待填</v>
      </c>
      <c r="L25" s="61" t="str">
        <f>IFERROR(0+(L9/L5),"待填")</f>
        <v>待填</v>
      </c>
      <c r="M25" s="61" t="str">
        <f>IFERROR(0+(M9/M5),"待填")</f>
        <v>待填</v>
      </c>
      <c r="N25" s="61" t="str">
        <f>IFERROR(0+(N9/N5),"待填")</f>
        <v>待填</v>
      </c>
      <c r="O25" s="61" t="str">
        <f>IFERROR(0+(O9/O5),"待填")</f>
        <v>待填</v>
      </c>
      <c r="P25" s="61" t="str">
        <f>IFERROR(0+(P9/P5),"待填")</f>
        <v>待填</v>
      </c>
      <c r="Q25" s="61" t="str">
        <f>IFERROR(0+(Q9/Q5),"待填")</f>
        <v>待填</v>
      </c>
      <c r="R25" s="61" t="str">
        <f>IFERROR(0+(R9/R5),"待填")</f>
        <v>待填</v>
      </c>
      <c r="S25" s="61" t="str">
        <f>IFERROR(0+(S9/S5),"待填")</f>
        <v>待填</v>
      </c>
    </row>
    <row r="26" ht="18" customHeight="1">
      <c r="A26" s="2"/>
      <c r="B26" s="46" t="str"/>
      <c r="C26" s="59" t="str">
        <v>售后服务费（给客户预备的钱，原隶属于销售费用）</v>
      </c>
      <c r="D26" s="61" t="str">
        <f>IFERROR(0+(D10/D5),"待填")</f>
        <v>待填</v>
      </c>
      <c r="E26" s="61" t="str">
        <f>IFERROR(0+(E10/E5),"待填")</f>
        <v>待填</v>
      </c>
      <c r="F26" s="61" t="str">
        <f>IFERROR(0+(F10/F5),"待填")</f>
        <v>待填</v>
      </c>
      <c r="G26" s="61" t="str">
        <f>IFERROR(0+(G10/G5),"待填")</f>
        <v>待填</v>
      </c>
      <c r="H26" s="61" t="str">
        <f>IFERROR(0+(H10/H5),"待填")</f>
        <v>待填</v>
      </c>
      <c r="I26" s="61" t="str">
        <f>IFERROR(0+(I10/I5),"待填")</f>
        <v>待填</v>
      </c>
      <c r="J26" s="61" t="str">
        <f>IFERROR(0+(J10/J5),"待填")</f>
        <v>待填</v>
      </c>
      <c r="K26" s="61" t="str">
        <f>IFERROR(0+(K10/K5),"待填")</f>
        <v>待填</v>
      </c>
      <c r="L26" s="61" t="str">
        <f>IFERROR(0+(L10/L5),"待填")</f>
        <v>待填</v>
      </c>
      <c r="M26" s="61" t="str">
        <f>IFERROR(0+(M10/M5),"待填")</f>
        <v>待填</v>
      </c>
      <c r="N26" s="61" t="str">
        <f>IFERROR(0+(N10/N5),"待填")</f>
        <v>待填</v>
      </c>
      <c r="O26" s="61" t="str">
        <f>IFERROR(0+(O10/O5),"待填")</f>
        <v>待填</v>
      </c>
      <c r="P26" s="61" t="str">
        <f>IFERROR(0+(P10/P5),"待填")</f>
        <v>待填</v>
      </c>
      <c r="Q26" s="61" t="str">
        <f>IFERROR(0+(Q10/Q5),"待填")</f>
        <v>待填</v>
      </c>
      <c r="R26" s="61" t="str">
        <f>IFERROR(0+(R10/R5),"待填")</f>
        <v>待填</v>
      </c>
      <c r="S26" s="61" t="str">
        <f>IFERROR(0+(S10/S5),"待填")</f>
        <v>待填</v>
      </c>
    </row>
    <row r="27" ht="18" customHeight="1">
      <c r="A27" s="2"/>
      <c r="B27" s="46" t="str"/>
      <c r="C27" s="59" t="str">
        <v>员工薪酬</v>
      </c>
      <c r="D27" s="61" t="str">
        <f>IFERROR(0+(D11/D5),"待填")</f>
        <v>待填</v>
      </c>
      <c r="E27" s="61" t="str">
        <f>IFERROR(0+(E11/E5),"待填")</f>
        <v>待填</v>
      </c>
      <c r="F27" s="61" t="str">
        <f>IFERROR(0+(F11/F5),"待填")</f>
        <v>待填</v>
      </c>
      <c r="G27" s="61" t="str">
        <f>IFERROR(0+(G11/G5),"待填")</f>
        <v>待填</v>
      </c>
      <c r="H27" s="61" t="str">
        <f>IFERROR(0+(H11/H5),"待填")</f>
        <v>待填</v>
      </c>
      <c r="I27" s="61" t="str">
        <f>IFERROR(0+(I11/I5),"待填")</f>
        <v>待填</v>
      </c>
      <c r="J27" s="61" t="str">
        <f>IFERROR(0+(J11/J5),"待填")</f>
        <v>待填</v>
      </c>
      <c r="K27" s="61" t="str">
        <f>IFERROR(0+(K11/K5),"待填")</f>
        <v>待填</v>
      </c>
      <c r="L27" s="61" t="str">
        <f>IFERROR(0+(L11/L5),"待填")</f>
        <v>待填</v>
      </c>
      <c r="M27" s="61" t="str">
        <f>IFERROR(0+(M11/M5),"待填")</f>
        <v>待填</v>
      </c>
      <c r="N27" s="61" t="str">
        <f>IFERROR(0+(N11/N5),"待填")</f>
        <v>待填</v>
      </c>
      <c r="O27" s="61" t="str">
        <f>IFERROR(0+(O11/O5),"待填")</f>
        <v>待填</v>
      </c>
      <c r="P27" s="61" t="str">
        <f>IFERROR(0+(P11/P5),"待填")</f>
        <v>待填</v>
      </c>
      <c r="Q27" s="61" t="str">
        <f>IFERROR(0+(Q11/Q5),"待填")</f>
        <v>待填</v>
      </c>
      <c r="R27" s="61" t="str">
        <f>IFERROR(0+(R11/R5),"待填")</f>
        <v>待填</v>
      </c>
      <c r="S27" s="61" t="str">
        <f>IFERROR(0+(S11/S5),"待填")</f>
        <v>待填</v>
      </c>
    </row>
    <row r="28" ht="18" customHeight="1">
      <c r="A28" s="2"/>
      <c r="B28" s="46" t="str"/>
      <c r="C28" s="59" t="str">
        <v>供应商（含委外加工）</v>
      </c>
      <c r="D28" s="61" t="str">
        <f>IFERROR(0+(D12/D5),"待填")</f>
        <v>待填</v>
      </c>
      <c r="E28" s="61" t="str">
        <f>IFERROR(0+(E12/E5),"待填")</f>
        <v>待填</v>
      </c>
      <c r="F28" s="61" t="str">
        <f>IFERROR(0+(F12/F5),"待填")</f>
        <v>待填</v>
      </c>
      <c r="G28" s="61" t="str">
        <f>IFERROR(0+(G12/G5),"待填")</f>
        <v>待填</v>
      </c>
      <c r="H28" s="61" t="str">
        <f>IFERROR(0+(H12/H5),"待填")</f>
        <v>待填</v>
      </c>
      <c r="I28" s="61" t="str">
        <f>IFERROR(0+(I12/I5),"待填")</f>
        <v>待填</v>
      </c>
      <c r="J28" s="61" t="str">
        <f>IFERROR(0+(J12/J5),"待填")</f>
        <v>待填</v>
      </c>
      <c r="K28" s="61" t="str">
        <f>IFERROR(0+(K12/K5),"待填")</f>
        <v>待填</v>
      </c>
      <c r="L28" s="61" t="str">
        <f>IFERROR(0+(L12/L5),"待填")</f>
        <v>待填</v>
      </c>
      <c r="M28" s="61" t="str">
        <f>IFERROR(0+(M12/M5),"待填")</f>
        <v>待填</v>
      </c>
      <c r="N28" s="61" t="str">
        <f>IFERROR(0+(N12/N5),"待填")</f>
        <v>待填</v>
      </c>
      <c r="O28" s="61" t="str">
        <f>IFERROR(0+(O12/O5),"待填")</f>
        <v>待填</v>
      </c>
      <c r="P28" s="61" t="str">
        <f>IFERROR(0+(P12/P5),"待填")</f>
        <v>待填</v>
      </c>
      <c r="Q28" s="61" t="str">
        <f>IFERROR(0+(Q12/Q5),"待填")</f>
        <v>待填</v>
      </c>
      <c r="R28" s="61" t="str">
        <f>IFERROR(0+(R12/R5),"待填")</f>
        <v>待填</v>
      </c>
      <c r="S28" s="61" t="str">
        <f>IFERROR(0+(S12/S5),"待填")</f>
        <v>待填</v>
      </c>
    </row>
    <row r="29" ht="18" customHeight="1">
      <c r="A29" s="2"/>
      <c r="B29" s="46" t="str"/>
      <c r="C29" s="59" t="str">
        <v>银行</v>
      </c>
      <c r="D29" s="61" t="str">
        <f>IFERROR(0+(D13/D5),"待填")</f>
        <v>待填</v>
      </c>
      <c r="E29" s="61" t="str">
        <f>IFERROR(0+(E13/E5),"待填")</f>
        <v>待填</v>
      </c>
      <c r="F29" s="61" t="str">
        <f>IFERROR(0+(F13/F5),"待填")</f>
        <v>待填</v>
      </c>
      <c r="G29" s="61" t="str">
        <f>IFERROR(0+(G13/G5),"待填")</f>
        <v>待填</v>
      </c>
      <c r="H29" s="61" t="str">
        <f>IFERROR(0+(H13/H5),"待填")</f>
        <v>待填</v>
      </c>
      <c r="I29" s="61" t="str">
        <f>IFERROR(0+(I13/I5),"待填")</f>
        <v>待填</v>
      </c>
      <c r="J29" s="61" t="str">
        <f>IFERROR(0+(J13/J5),"待填")</f>
        <v>待填</v>
      </c>
      <c r="K29" s="61" t="str">
        <f>IFERROR(0+(K13/K5),"待填")</f>
        <v>待填</v>
      </c>
      <c r="L29" s="61" t="str">
        <f>IFERROR(0+(L13/L5),"待填")</f>
        <v>待填</v>
      </c>
      <c r="M29" s="61" t="str">
        <f>IFERROR(0+(M13/M5),"待填")</f>
        <v>待填</v>
      </c>
      <c r="N29" s="61" t="str">
        <f>IFERROR(0+(N13/N5),"待填")</f>
        <v>待填</v>
      </c>
      <c r="O29" s="61" t="str">
        <f>IFERROR(0+(O13/O5),"待填")</f>
        <v>待填</v>
      </c>
      <c r="P29" s="61" t="str">
        <f>IFERROR(0+(P13/P5),"待填")</f>
        <v>待填</v>
      </c>
      <c r="Q29" s="61" t="str">
        <f>IFERROR(0+(Q13/Q5),"待填")</f>
        <v>待填</v>
      </c>
      <c r="R29" s="61" t="str">
        <f>IFERROR(0+(R13/R5),"待填")</f>
        <v>待填</v>
      </c>
      <c r="S29" s="61" t="str">
        <f>IFERROR(0+(S13/S5),"待填")</f>
        <v>待填</v>
      </c>
    </row>
    <row r="30" ht="18" customHeight="1">
      <c r="A30" s="2"/>
      <c r="B30" s="46" t="str"/>
      <c r="C30" s="59" t="str">
        <v>政府</v>
      </c>
      <c r="D30" s="61" t="str">
        <f>IFERROR(0+(D14/D5),"待填")</f>
        <v>待填</v>
      </c>
      <c r="E30" s="61" t="str">
        <f>IFERROR(0+(E14/E5),"待填")</f>
        <v>待填</v>
      </c>
      <c r="F30" s="61" t="str">
        <f>IFERROR(0+(F14/F5),"待填")</f>
        <v>待填</v>
      </c>
      <c r="G30" s="61" t="str">
        <f>IFERROR(0+(G14/G5),"待填")</f>
        <v>待填</v>
      </c>
      <c r="H30" s="61" t="str">
        <f>IFERROR(0+(H14/H5),"待填")</f>
        <v>待填</v>
      </c>
      <c r="I30" s="61" t="str">
        <f>IFERROR(0+(I14/I5),"待填")</f>
        <v>待填</v>
      </c>
      <c r="J30" s="61" t="str">
        <f>IFERROR(0+(J14/J5),"待填")</f>
        <v>待填</v>
      </c>
      <c r="K30" s="61" t="str">
        <f>IFERROR(0+(K14/K5),"待填")</f>
        <v>待填</v>
      </c>
      <c r="L30" s="61" t="str">
        <f>IFERROR(0+(L14/L5),"待填")</f>
        <v>待填</v>
      </c>
      <c r="M30" s="61" t="str">
        <f>IFERROR(0+(M14/M5),"待填")</f>
        <v>待填</v>
      </c>
      <c r="N30" s="61" t="str">
        <f>IFERROR(0+(N14/N5),"待填")</f>
        <v>待填</v>
      </c>
      <c r="O30" s="61" t="str">
        <f>IFERROR(0+(O14/O5),"待填")</f>
        <v>待填</v>
      </c>
      <c r="P30" s="61" t="str">
        <f>IFERROR(0+(P14/P5),"待填")</f>
        <v>待填</v>
      </c>
      <c r="Q30" s="61" t="str">
        <f>IFERROR(0+(Q14/Q5),"待填")</f>
        <v>待填</v>
      </c>
      <c r="R30" s="61" t="str">
        <f>IFERROR(0+(R14/R5),"待填")</f>
        <v>待填</v>
      </c>
      <c r="S30" s="61" t="str">
        <f>IFERROR(0+(S14/S5),"待填")</f>
        <v>待填</v>
      </c>
    </row>
    <row r="31" ht="18" customHeight="1">
      <c r="A31" s="2"/>
      <c r="B31" s="46" t="str"/>
      <c r="C31" s="59" t="str">
        <v>折旧</v>
      </c>
      <c r="D31" s="61" t="str">
        <f>IFERROR(0+(D15/D5),"待填")</f>
        <v>待填</v>
      </c>
      <c r="E31" s="61" t="str">
        <f>IFERROR(0+(E15/E5),"待填")</f>
        <v>待填</v>
      </c>
      <c r="F31" s="61" t="str">
        <f>IFERROR(0+(F15/F5),"待填")</f>
        <v>待填</v>
      </c>
      <c r="G31" s="61" t="str">
        <f>IFERROR(0+(G15/G5),"待填")</f>
        <v>待填</v>
      </c>
      <c r="H31" s="61" t="str">
        <f>IFERROR(0+(H15/H5),"待填")</f>
        <v>待填</v>
      </c>
      <c r="I31" s="61" t="str">
        <f>IFERROR(0+(I15/I5),"待填")</f>
        <v>待填</v>
      </c>
      <c r="J31" s="61" t="str">
        <f>IFERROR(0+(J15/J5),"待填")</f>
        <v>待填</v>
      </c>
      <c r="K31" s="61" t="str">
        <f>IFERROR(0+(K15/K5),"待填")</f>
        <v>待填</v>
      </c>
      <c r="L31" s="61" t="str">
        <f>IFERROR(0+(L15/L5),"待填")</f>
        <v>待填</v>
      </c>
      <c r="M31" s="61" t="str">
        <f>IFERROR(0+(M15/M5),"待填")</f>
        <v>待填</v>
      </c>
      <c r="N31" s="61" t="str">
        <f>IFERROR(0+(N15/N5),"待填")</f>
        <v>待填</v>
      </c>
      <c r="O31" s="61" t="str">
        <f>IFERROR(0+(O15/O5),"待填")</f>
        <v>待填</v>
      </c>
      <c r="P31" s="61" t="str">
        <f>IFERROR(0+(P15/P5),"待填")</f>
        <v>待填</v>
      </c>
      <c r="Q31" s="61" t="str">
        <f>IFERROR(0+(Q15/Q5),"待填")</f>
        <v>待填</v>
      </c>
      <c r="R31" s="61" t="str">
        <f>IFERROR(0+(R15/R5),"待填")</f>
        <v>待填</v>
      </c>
      <c r="S31" s="61" t="str">
        <f>IFERROR(0+(S15/S5),"待填")</f>
        <v>待填</v>
      </c>
    </row>
    <row r="32" ht="18" customHeight="1">
      <c r="A32" s="2"/>
      <c r="B32" s="46" t="str"/>
      <c r="C32" s="59" t="str">
        <v>摊销</v>
      </c>
      <c r="D32" s="61" t="str">
        <f>IFERROR(0+(D16/D5),"待填")</f>
        <v>待填</v>
      </c>
      <c r="E32" s="61" t="str">
        <f>IFERROR(0+(E16/E5),"待填")</f>
        <v>待填</v>
      </c>
      <c r="F32" s="61" t="str">
        <f>IFERROR(0+(F16/F5),"待填")</f>
        <v>待填</v>
      </c>
      <c r="G32" s="61" t="str">
        <f>IFERROR(0+(G16/G5),"待填")</f>
        <v>待填</v>
      </c>
      <c r="H32" s="61" t="str">
        <f>IFERROR(0+(H16/H5),"待填")</f>
        <v>待填</v>
      </c>
      <c r="I32" s="61" t="str">
        <f>IFERROR(0+(I16/I5),"待填")</f>
        <v>待填</v>
      </c>
      <c r="J32" s="61" t="str">
        <f>IFERROR(0+(J16/J5),"待填")</f>
        <v>待填</v>
      </c>
      <c r="K32" s="61" t="str">
        <f>IFERROR(0+(K16/K5),"待填")</f>
        <v>待填</v>
      </c>
      <c r="L32" s="61" t="str">
        <f>IFERROR(0+(L16/L5),"待填")</f>
        <v>待填</v>
      </c>
      <c r="M32" s="61" t="str">
        <f>IFERROR(0+(M16/M5),"待填")</f>
        <v>待填</v>
      </c>
      <c r="N32" s="61" t="str">
        <f>IFERROR(0+(N16/N5),"待填")</f>
        <v>待填</v>
      </c>
      <c r="O32" s="61" t="str">
        <f>IFERROR(0+(O16/O5),"待填")</f>
        <v>待填</v>
      </c>
      <c r="P32" s="61" t="str">
        <f>IFERROR(0+(P16/P5),"待填")</f>
        <v>待填</v>
      </c>
      <c r="Q32" s="61" t="str">
        <f>IFERROR(0+(Q16/Q5),"待填")</f>
        <v>待填</v>
      </c>
      <c r="R32" s="61" t="str">
        <f>IFERROR(0+(R16/R5),"待填")</f>
        <v>待填</v>
      </c>
      <c r="S32" s="61" t="str">
        <f>IFERROR(0+(S16/S5),"待填")</f>
        <v>待填</v>
      </c>
    </row>
    <row r="33" ht="18" customHeight="1">
      <c r="A33" s="2"/>
      <c r="B33" s="46" t="str"/>
      <c r="C33" s="59" t="str">
        <v>净利润-少数股东</v>
      </c>
      <c r="D33" s="61" t="str">
        <f>IFERROR(0+(D17/D5),"待填")</f>
        <v>待填</v>
      </c>
      <c r="E33" s="61" t="str">
        <f>IFERROR(0+(E17/E5),"待填")</f>
        <v>待填</v>
      </c>
      <c r="F33" s="61" t="str">
        <f>IFERROR(0+(F17/F5),"待填")</f>
        <v>待填</v>
      </c>
      <c r="G33" s="61" t="str">
        <f>IFERROR(0+(G17/G5),"待填")</f>
        <v>待填</v>
      </c>
      <c r="H33" s="61" t="str">
        <f>IFERROR(0+(H17/H5),"待填")</f>
        <v>待填</v>
      </c>
      <c r="I33" s="61" t="str">
        <f>IFERROR(0+(I17/I5),"待填")</f>
        <v>待填</v>
      </c>
      <c r="J33" s="61" t="str">
        <f>IFERROR(0+(J17/J5),"待填")</f>
        <v>待填</v>
      </c>
      <c r="K33" s="61" t="str">
        <f>IFERROR(0+(K17/K5),"待填")</f>
        <v>待填</v>
      </c>
      <c r="L33" s="61" t="str">
        <f>IFERROR(0+(L17/L5),"待填")</f>
        <v>待填</v>
      </c>
      <c r="M33" s="61" t="str">
        <f>IFERROR(0+(M17/M5),"待填")</f>
        <v>待填</v>
      </c>
      <c r="N33" s="61" t="str">
        <f>IFERROR(0+(N17/N5),"待填")</f>
        <v>待填</v>
      </c>
      <c r="O33" s="61" t="str">
        <f>IFERROR(0+(O17/O5),"待填")</f>
        <v>待填</v>
      </c>
      <c r="P33" s="61" t="str">
        <f>IFERROR(0+(P17/P5),"待填")</f>
        <v>待填</v>
      </c>
      <c r="Q33" s="61" t="str">
        <f>IFERROR(0+(Q17/Q5),"待填")</f>
        <v>待填</v>
      </c>
      <c r="R33" s="61" t="str">
        <f>IFERROR(0+(R17/R5),"待填")</f>
        <v>待填</v>
      </c>
      <c r="S33" s="61" t="str">
        <f>IFERROR(0+(S17/S5),"待填")</f>
        <v>待填</v>
      </c>
    </row>
    <row r="34" ht="18" customHeight="1">
      <c r="A34" s="2"/>
      <c r="B34" s="46" t="str"/>
      <c r="C34" s="59" t="str">
        <v>净利润-母公司股东</v>
      </c>
      <c r="D34" s="61" t="str">
        <f>IFERROR(0+(D18/D5),"待填")</f>
        <v>待填</v>
      </c>
      <c r="E34" s="61" t="str">
        <f>IFERROR(0+(E18/E5),"待填")</f>
        <v>待填</v>
      </c>
      <c r="F34" s="61" t="str">
        <f>IFERROR(0+(F18/F5),"待填")</f>
        <v>待填</v>
      </c>
      <c r="G34" s="61" t="str">
        <f>IFERROR(0+(G18/G5),"待填")</f>
        <v>待填</v>
      </c>
      <c r="H34" s="61" t="str">
        <f>IFERROR(0+(H18/H5),"待填")</f>
        <v>待填</v>
      </c>
      <c r="I34" s="61" t="str">
        <f>IFERROR(0+(I18/I5),"待填")</f>
        <v>待填</v>
      </c>
      <c r="J34" s="61" t="str">
        <f>IFERROR(0+(J18/J5),"待填")</f>
        <v>待填</v>
      </c>
      <c r="K34" s="61" t="str">
        <f>IFERROR(0+(K18/K5),"待填")</f>
        <v>待填</v>
      </c>
      <c r="L34" s="61" t="str">
        <f>IFERROR(0+(L18/L5),"待填")</f>
        <v>待填</v>
      </c>
      <c r="M34" s="61" t="str">
        <f>IFERROR(0+(M18/M5),"待填")</f>
        <v>待填</v>
      </c>
      <c r="N34" s="61" t="str">
        <f>IFERROR(0+(N18/N5),"待填")</f>
        <v>待填</v>
      </c>
      <c r="O34" s="61" t="str">
        <f>IFERROR(0+(O18/O5),"待填")</f>
        <v>待填</v>
      </c>
      <c r="P34" s="61" t="str">
        <f>IFERROR(0+(P18/P5),"待填")</f>
        <v>待填</v>
      </c>
      <c r="Q34" s="61" t="str">
        <f>IFERROR(0+(Q18/Q5),"待填")</f>
        <v>待填</v>
      </c>
      <c r="R34" s="61" t="str">
        <f>IFERROR(0+(R18/R5),"待填")</f>
        <v>待填</v>
      </c>
      <c r="S34" s="61" t="str">
        <f>IFERROR(0+(S18/S5),"待填")</f>
        <v>待填</v>
      </c>
    </row>
    <row r="35" ht="18" customHeight="1">
      <c r="A35" s="2"/>
      <c r="B35" s="46" t="str"/>
      <c r="C35" s="2" t="str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ht="18" customHeight="1">
      <c r="A36" s="2"/>
      <c r="B36" s="46" t="str"/>
      <c r="C36" s="2" t="str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ht="20" customHeight="1">
      <c r="A37" s="2"/>
      <c r="B37" s="46" t="str"/>
      <c r="C37" s="53" t="str">
        <v>细项拆分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</row>
    <row r="38" ht="21" customHeight="1">
      <c r="A38" s="2"/>
      <c r="B38" s="46" t="str"/>
      <c r="C38" s="54" t="str">
        <v>项目数额</v>
      </c>
      <c r="D38" s="55" t="str">
        <v>2010年</v>
      </c>
      <c r="E38" s="55" t="str">
        <v>2011年</v>
      </c>
      <c r="F38" s="55" t="str">
        <v>2012年</v>
      </c>
      <c r="G38" s="55" t="str">
        <v>2013年</v>
      </c>
      <c r="H38" s="55" t="str">
        <v>2014年</v>
      </c>
      <c r="I38" s="55" t="str">
        <v>2015年</v>
      </c>
      <c r="J38" s="55" t="str">
        <v>2016年</v>
      </c>
      <c r="K38" s="55" t="str">
        <v>2017年</v>
      </c>
      <c r="L38" s="55" t="str">
        <v>2018年</v>
      </c>
      <c r="M38" s="55" t="str">
        <v>2019年</v>
      </c>
      <c r="N38" s="55" t="str">
        <v>2020年</v>
      </c>
      <c r="O38" s="55" t="str">
        <v>2021年</v>
      </c>
      <c r="P38" s="55" t="str">
        <v>2022年</v>
      </c>
      <c r="Q38" s="55" t="str">
        <v>2023年</v>
      </c>
      <c r="R38" s="55" t="str">
        <v>2024年</v>
      </c>
      <c r="S38" s="55" t="str">
        <v>2025年</v>
      </c>
    </row>
    <row r="39" ht="18" customHeight="1">
      <c r="A39" s="2"/>
      <c r="B39" s="46" t="str"/>
      <c r="C39" s="67" t="str">
        <v>收入</v>
      </c>
      <c r="D39" s="66" t="n">
        <f>IFERROR(0+('示例公司三表'!D7/100),"待填")</f>
        <v>0</v>
      </c>
      <c r="E39" s="66" t="n">
        <f>IFERROR(0+('示例公司三表'!E7/100),"待填")</f>
        <v>0</v>
      </c>
      <c r="F39" s="66" t="n">
        <f>IFERROR(0+('示例公司三表'!F7/100),"待填")</f>
        <v>0</v>
      </c>
      <c r="G39" s="66" t="n">
        <f>IFERROR(0+('示例公司三表'!G7/100),"待填")</f>
        <v>0</v>
      </c>
      <c r="H39" s="66" t="n">
        <f>IFERROR(0+('示例公司三表'!H7/100),"待填")</f>
        <v>0</v>
      </c>
      <c r="I39" s="66" t="n">
        <f>IFERROR(0+('示例公司三表'!I7/100),"待填")</f>
        <v>0</v>
      </c>
      <c r="J39" s="66" t="n">
        <f>IFERROR(0+('示例公司三表'!J7/100),"待填")</f>
        <v>0</v>
      </c>
      <c r="K39" s="66" t="n">
        <f>IFERROR(0+('示例公司三表'!K7/100),"待填")</f>
        <v>0</v>
      </c>
      <c r="L39" s="66" t="n">
        <f>IFERROR(0+('示例公司三表'!L7/100),"待填")</f>
        <v>0</v>
      </c>
      <c r="M39" s="66" t="n">
        <f>IFERROR(0+('示例公司三表'!M7/100),"待填")</f>
        <v>0</v>
      </c>
      <c r="N39" s="66" t="n">
        <f>IFERROR(0+('示例公司三表'!N7/100),"待填")</f>
        <v>0</v>
      </c>
      <c r="O39" s="66" t="n">
        <f>IFERROR(0+('示例公司三表'!O7/100),"待填")</f>
        <v>0</v>
      </c>
      <c r="P39" s="66" t="n">
        <f>IFERROR(0+('示例公司三表'!P7/100),"待填")</f>
        <v>0</v>
      </c>
      <c r="Q39" s="66" t="n">
        <f>IFERROR(0+('示例公司三表'!Q7/100),"待填")</f>
        <v>0</v>
      </c>
      <c r="R39" s="66" t="n">
        <f>IFERROR(0+('示例公司三表'!R7/100),"待填")</f>
        <v>0</v>
      </c>
      <c r="S39" s="66" t="n">
        <f>IFERROR(0+('示例公司三表'!S7/100),"待填")</f>
        <v>0</v>
      </c>
    </row>
    <row r="40" ht="18" customHeight="1">
      <c r="A40" s="2"/>
      <c r="B40" s="46" t="str"/>
      <c r="C40" s="67" t="str">
        <v>下面各项加总</v>
      </c>
      <c r="D40" s="66" t="n">
        <f>IFERROR(0+(D41+D48+D49+D51+D72+D91+D92+D93+D96+D97+D101+D102),"待填")</f>
        <v>0</v>
      </c>
      <c r="E40" s="66" t="n">
        <f>IFERROR(0+(E41+E48+E49+E51+E72+E91+E92+E93+E96+E97+E101+E102),"待填")</f>
        <v>0</v>
      </c>
      <c r="F40" s="66" t="n">
        <f>IFERROR(0+(F41+F48+F49+F51+F72+F91+F92+F93+F96+F97+F101+F102),"待填")</f>
        <v>0</v>
      </c>
      <c r="G40" s="66" t="n">
        <f>IFERROR(0+(G41+G48+G49+G51+G72+G91+G92+G93+G96+G97+G101+G102),"待填")</f>
        <v>0</v>
      </c>
      <c r="H40" s="66" t="n">
        <f>IFERROR(0+(H41+H48+H49+H51+H72+H91+H92+H93+H96+H97+H101+H102),"待填")</f>
        <v>0</v>
      </c>
      <c r="I40" s="66" t="n">
        <f>IFERROR(0+(I41+I48+I49+I51+I72+I91+I92+I93+I96+I97+I101+I102),"待填")</f>
        <v>0</v>
      </c>
      <c r="J40" s="66" t="n">
        <f>IFERROR(0+(J41+J48+J49+J51+J72+J91+J92+J93+J96+J97+J101+J102),"待填")</f>
        <v>0</v>
      </c>
      <c r="K40" s="66" t="n">
        <f>IFERROR(0+(K41+K48+K49+K51+K72+K91+K92+K93+K96+K97+K101+K102),"待填")</f>
        <v>0</v>
      </c>
      <c r="L40" s="66" t="n">
        <f>IFERROR(0+(L41+L48+L49+L51+L72+L91+L92+L93+L96+L97+L101+L102),"待填")</f>
        <v>0</v>
      </c>
      <c r="M40" s="66" t="n">
        <f>IFERROR(0+(M41+M48+M49+M51+M72+M91+M92+M93+M96+M97+M101+M102),"待填")</f>
        <v>0</v>
      </c>
      <c r="N40" s="66" t="n">
        <f>IFERROR(0+(N41+N48+N49+N51+N72+N91+N92+N93+N96+N97+N101+N102),"待填")</f>
        <v>0</v>
      </c>
      <c r="O40" s="66" t="n">
        <f>IFERROR(0+(O41+O48+O49+O51+O72+O91+O92+O93+O96+O97+O101+O102),"待填")</f>
        <v>0</v>
      </c>
      <c r="P40" s="66" t="n">
        <f>IFERROR(0+(P41+P48+P49+P51+P72+P91+P92+P93+P96+P97+P101+P102),"待填")</f>
        <v>0</v>
      </c>
      <c r="Q40" s="66" t="n">
        <f>IFERROR(0+(Q41+Q48+Q49+Q51+Q72+Q91+Q92+Q93+Q96+Q97+Q101+Q102),"待填")</f>
        <v>0</v>
      </c>
      <c r="R40" s="66" t="n">
        <f>IFERROR(0+(R41+R48+R49+R51+R72+R91+R92+R93+R96+R97+R101+R102),"待填")</f>
        <v>0</v>
      </c>
      <c r="S40" s="66" t="n">
        <f>IFERROR(0+(S41+S48+S49+S51+S72+S91+S92+S93+S96+S97+S101+S102),"待填")</f>
        <v>0</v>
      </c>
    </row>
    <row r="41" ht="18" customHeight="1">
      <c r="A41" s="2"/>
      <c r="B41" s="46" t="str">
        <v>其他经营收益取负数</v>
      </c>
      <c r="C41" s="68" t="str">
        <v>经营损失</v>
      </c>
      <c r="D41" s="63" t="n">
        <f>IFERROR(0+(-('示例公司三表'!D25+'示例公司三表'!D26+'示例公司三表'!D31+'示例公司三表'!D32+'示例公司三表'!D34-'示例公司三表'!D33)/100),"待填")</f>
        <v>0</v>
      </c>
      <c r="E41" s="63" t="n">
        <f>IFERROR(0+(-('示例公司三表'!E25+'示例公司三表'!E26+'示例公司三表'!E31+'示例公司三表'!E32+'示例公司三表'!E34-'示例公司三表'!E33)/100),"待填")</f>
        <v>0</v>
      </c>
      <c r="F41" s="63" t="n">
        <f>IFERROR(0+(-('示例公司三表'!F25+'示例公司三表'!F26+'示例公司三表'!F31+'示例公司三表'!F32+'示例公司三表'!F34-'示例公司三表'!F33)/100),"待填")</f>
        <v>0</v>
      </c>
      <c r="G41" s="63" t="n">
        <f>IFERROR(0+(-('示例公司三表'!G25+'示例公司三表'!G26+'示例公司三表'!G31+'示例公司三表'!G32+'示例公司三表'!G34-'示例公司三表'!G33)/100),"待填")</f>
        <v>0</v>
      </c>
      <c r="H41" s="63" t="n">
        <f>IFERROR(0+(-('示例公司三表'!H25+'示例公司三表'!H26+'示例公司三表'!H31+'示例公司三表'!H32+'示例公司三表'!H34-'示例公司三表'!H33)/100),"待填")</f>
        <v>0</v>
      </c>
      <c r="I41" s="63" t="n">
        <f>IFERROR(0+(-('示例公司三表'!I25+'示例公司三表'!I26+'示例公司三表'!I31+'示例公司三表'!I32+'示例公司三表'!I34-'示例公司三表'!I33)/100),"待填")</f>
        <v>0</v>
      </c>
      <c r="J41" s="63" t="n">
        <f>IFERROR(0+(-('示例公司三表'!J25+'示例公司三表'!J26+'示例公司三表'!J31+'示例公司三表'!J32+'示例公司三表'!J34-'示例公司三表'!J33)/100),"待填")</f>
        <v>0</v>
      </c>
      <c r="K41" s="63" t="n">
        <f>IFERROR(0+(-('示例公司三表'!K25+'示例公司三表'!K26+'示例公司三表'!K31+'示例公司三表'!K32+'示例公司三表'!K34-'示例公司三表'!K33)/100),"待填")</f>
        <v>0</v>
      </c>
      <c r="L41" s="63" t="n">
        <f>IFERROR(0+(-('示例公司三表'!L25+'示例公司三表'!L26+'示例公司三表'!L31+'示例公司三表'!L32+'示例公司三表'!L34-'示例公司三表'!L33)/100),"待填")</f>
        <v>0</v>
      </c>
      <c r="M41" s="63" t="n">
        <f>IFERROR(0+(-('示例公司三表'!M25+'示例公司三表'!M26+'示例公司三表'!M31+'示例公司三表'!M32+'示例公司三表'!M34+'示例公司三表'!M33)/100),"待填")</f>
        <v>0</v>
      </c>
      <c r="N41" s="63" t="n">
        <f>IFERROR(0+(-('示例公司三表'!N25+'示例公司三表'!N26+'示例公司三表'!N31+'示例公司三表'!N32+'示例公司三表'!N34+'示例公司三表'!N33)/100),"待填")</f>
        <v>0</v>
      </c>
      <c r="O41" s="63" t="n">
        <f>IFERROR(0+(-('示例公司三表'!O25+'示例公司三表'!O26+'示例公司三表'!O31+'示例公司三表'!O32+'示例公司三表'!O34+'示例公司三表'!O33)/100),"待填")</f>
        <v>0</v>
      </c>
      <c r="P41" s="63" t="n">
        <f>IFERROR(0+(-('示例公司三表'!P25+'示例公司三表'!P26+'示例公司三表'!P31+'示例公司三表'!P32+'示例公司三表'!P34+'示例公司三表'!P33)/100),"待填")</f>
        <v>0</v>
      </c>
      <c r="Q41" s="63" t="n">
        <f>IFERROR(0+(-('示例公司三表'!Q25+'示例公司三表'!Q26+'示例公司三表'!Q31+'示例公司三表'!Q32+'示例公司三表'!Q34+'示例公司三表'!Q33)/100),"待填")</f>
        <v>0</v>
      </c>
      <c r="R41" s="63" t="n">
        <f>IFERROR(0+(-('示例公司三表'!R25+'示例公司三表'!R26+'示例公司三表'!R31+'示例公司三表'!R32+'示例公司三表'!R34+'示例公司三表'!R33)/100),"待填")</f>
        <v>0</v>
      </c>
      <c r="S41" s="63" t="n">
        <f>IFERROR(0+(-('示例公司三表'!S25+'示例公司三表'!S26+'示例公司三表'!S31+'示例公司三表'!S32+'示例公司三表'!S34+'示例公司三表'!S33)/100),"待填")</f>
        <v>0</v>
      </c>
    </row>
    <row r="42" ht="18" customHeight="1">
      <c r="A42" s="2"/>
      <c r="B42" s="46" t="str"/>
      <c r="C42" s="69" t="str">
        <v>—其他收益</v>
      </c>
      <c r="D42" s="44" t="n">
        <f>IFERROR(0+('示例公司三表'!D25/100),"待填")</f>
        <v>0</v>
      </c>
      <c r="E42" s="44" t="n">
        <f>IFERROR(0+('示例公司三表'!E25/100),"待填")</f>
        <v>0</v>
      </c>
      <c r="F42" s="44" t="n">
        <f>IFERROR(0+('示例公司三表'!F25/100),"待填")</f>
        <v>0</v>
      </c>
      <c r="G42" s="44" t="n">
        <f>IFERROR(0+('示例公司三表'!G25/100),"待填")</f>
        <v>0</v>
      </c>
      <c r="H42" s="44" t="n">
        <f>IFERROR(0+('示例公司三表'!H25/100),"待填")</f>
        <v>0</v>
      </c>
      <c r="I42" s="44" t="n">
        <f>IFERROR(0+('示例公司三表'!I25/100),"待填")</f>
        <v>0</v>
      </c>
      <c r="J42" s="44" t="n">
        <f>IFERROR(0+('示例公司三表'!J25/100),"待填")</f>
        <v>0</v>
      </c>
      <c r="K42" s="44" t="n">
        <f>IFERROR(0+('示例公司三表'!K25/100),"待填")</f>
        <v>0</v>
      </c>
      <c r="L42" s="44" t="n">
        <f>IFERROR(0+('示例公司三表'!L25/100),"待填")</f>
        <v>0</v>
      </c>
      <c r="M42" s="44" t="n">
        <f>IFERROR(0+('示例公司三表'!M25/100),"待填")</f>
        <v>0</v>
      </c>
      <c r="N42" s="44" t="n">
        <f>IFERROR(0+('示例公司三表'!N25/100),"待填")</f>
        <v>0</v>
      </c>
      <c r="O42" s="44" t="n">
        <f>IFERROR(0+('示例公司三表'!O25/100),"待填")</f>
        <v>0</v>
      </c>
      <c r="P42" s="44" t="n">
        <f>IFERROR(0+('示例公司三表'!P25/100),"待填")</f>
        <v>0</v>
      </c>
      <c r="Q42" s="44" t="n">
        <f>IFERROR(0+('示例公司三表'!Q25/100),"待填")</f>
        <v>0</v>
      </c>
      <c r="R42" s="44" t="n">
        <f>IFERROR(0+('示例公司三表'!R25/100),"待填")</f>
        <v>0</v>
      </c>
      <c r="S42" s="44" t="n">
        <f>IFERROR(0+('示例公司三表'!S25/100),"待填")</f>
        <v>0</v>
      </c>
    </row>
    <row r="43" ht="18" customHeight="1">
      <c r="A43" s="2"/>
      <c r="B43" s="46" t="str"/>
      <c r="C43" s="69" t="str">
        <v>—投资收益</v>
      </c>
      <c r="D43" s="44" t="n">
        <f>IFERROR(0+('示例公司三表'!D26/100),"待填")</f>
        <v>0</v>
      </c>
      <c r="E43" s="44" t="n">
        <f>IFERROR(0+('示例公司三表'!E26/100),"待填")</f>
        <v>0</v>
      </c>
      <c r="F43" s="44" t="n">
        <f>IFERROR(0+('示例公司三表'!F26/100),"待填")</f>
        <v>0</v>
      </c>
      <c r="G43" s="44" t="n">
        <f>IFERROR(0+('示例公司三表'!G26/100),"待填")</f>
        <v>0</v>
      </c>
      <c r="H43" s="44" t="n">
        <f>IFERROR(0+('示例公司三表'!H26/100),"待填")</f>
        <v>0</v>
      </c>
      <c r="I43" s="44" t="n">
        <f>IFERROR(0+('示例公司三表'!I26/100),"待填")</f>
        <v>0</v>
      </c>
      <c r="J43" s="44" t="n">
        <f>IFERROR(0+('示例公司三表'!J26/100),"待填")</f>
        <v>0</v>
      </c>
      <c r="K43" s="44" t="n">
        <f>IFERROR(0+('示例公司三表'!K26/100),"待填")</f>
        <v>0</v>
      </c>
      <c r="L43" s="44" t="n">
        <f>IFERROR(0+('示例公司三表'!L26/100),"待填")</f>
        <v>0</v>
      </c>
      <c r="M43" s="44" t="n">
        <f>IFERROR(0+('示例公司三表'!M26/100),"待填")</f>
        <v>0</v>
      </c>
      <c r="N43" s="44" t="n">
        <f>IFERROR(0+('示例公司三表'!N26/100),"待填")</f>
        <v>0</v>
      </c>
      <c r="O43" s="44" t="n">
        <f>IFERROR(0+('示例公司三表'!O26/100),"待填")</f>
        <v>0</v>
      </c>
      <c r="P43" s="44" t="n">
        <f>IFERROR(0+('示例公司三表'!P26/100),"待填")</f>
        <v>0</v>
      </c>
      <c r="Q43" s="44" t="n">
        <f>IFERROR(0+('示例公司三表'!Q26/100),"待填")</f>
        <v>0</v>
      </c>
      <c r="R43" s="44" t="n">
        <f>IFERROR(0+('示例公司三表'!R26/100),"待填")</f>
        <v>0</v>
      </c>
      <c r="S43" s="44" t="n">
        <f>IFERROR(0+('示例公司三表'!S26/100),"待填")</f>
        <v>0</v>
      </c>
    </row>
    <row r="44" ht="18" customHeight="1">
      <c r="A44" s="2"/>
      <c r="B44" s="46" t="str"/>
      <c r="C44" s="69" t="str">
        <v>—公允价值变动收益</v>
      </c>
      <c r="D44" s="44" t="n">
        <f>IFERROR(0+('示例公司三表'!D31/100),"待填")</f>
        <v>0</v>
      </c>
      <c r="E44" s="44" t="n">
        <f>IFERROR(0+('示例公司三表'!E31/100),"待填")</f>
        <v>0</v>
      </c>
      <c r="F44" s="44" t="n">
        <f>IFERROR(0+('示例公司三表'!F31/100),"待填")</f>
        <v>0</v>
      </c>
      <c r="G44" s="44" t="n">
        <f>IFERROR(0+('示例公司三表'!G31/100),"待填")</f>
        <v>0</v>
      </c>
      <c r="H44" s="44" t="n">
        <f>IFERROR(0+('示例公司三表'!H31/100),"待填")</f>
        <v>0</v>
      </c>
      <c r="I44" s="44" t="n">
        <f>IFERROR(0+('示例公司三表'!I31/100),"待填")</f>
        <v>0</v>
      </c>
      <c r="J44" s="44" t="n">
        <f>IFERROR(0+('示例公司三表'!J31/100),"待填")</f>
        <v>0</v>
      </c>
      <c r="K44" s="44" t="n">
        <f>IFERROR(0+('示例公司三表'!K31/100),"待填")</f>
        <v>0</v>
      </c>
      <c r="L44" s="44" t="n">
        <f>IFERROR(0+('示例公司三表'!L31/100),"待填")</f>
        <v>0</v>
      </c>
      <c r="M44" s="44" t="n">
        <f>IFERROR(0+('示例公司三表'!M31/100),"待填")</f>
        <v>0</v>
      </c>
      <c r="N44" s="44" t="n">
        <f>IFERROR(0+('示例公司三表'!N31/100),"待填")</f>
        <v>0</v>
      </c>
      <c r="O44" s="44" t="n">
        <f>IFERROR(0+('示例公司三表'!O31/100),"待填")</f>
        <v>0</v>
      </c>
      <c r="P44" s="44" t="n">
        <f>IFERROR(0+('示例公司三表'!P31/100),"待填")</f>
        <v>0</v>
      </c>
      <c r="Q44" s="44" t="n">
        <f>IFERROR(0+('示例公司三表'!Q31/100),"待填")</f>
        <v>0</v>
      </c>
      <c r="R44" s="44" t="n">
        <f>IFERROR(0+('示例公司三表'!R31/100),"待填")</f>
        <v>0</v>
      </c>
      <c r="S44" s="44" t="n">
        <f>IFERROR(0+('示例公司三表'!S31/100),"待填")</f>
        <v>0</v>
      </c>
    </row>
    <row r="45" ht="18" customHeight="1">
      <c r="A45" s="2"/>
      <c r="B45" s="46" t="str"/>
      <c r="C45" s="69" t="str">
        <v>—信用减值损失</v>
      </c>
      <c r="D45" s="44" t="n">
        <f>IFERROR(0+('示例公司三表'!D32/100),"待填")</f>
        <v>0</v>
      </c>
      <c r="E45" s="44" t="n">
        <f>IFERROR(0+('示例公司三表'!E32/100),"待填")</f>
        <v>0</v>
      </c>
      <c r="F45" s="44" t="n">
        <f>IFERROR(0+('示例公司三表'!F32/100),"待填")</f>
        <v>0</v>
      </c>
      <c r="G45" s="44" t="n">
        <f>IFERROR(0+('示例公司三表'!G32/100),"待填")</f>
        <v>0</v>
      </c>
      <c r="H45" s="44" t="n">
        <f>IFERROR(0+('示例公司三表'!H32/100),"待填")</f>
        <v>0</v>
      </c>
      <c r="I45" s="44" t="n">
        <f>IFERROR(0+('示例公司三表'!I32/100),"待填")</f>
        <v>0</v>
      </c>
      <c r="J45" s="44" t="n">
        <f>IFERROR(0+('示例公司三表'!J32/100),"待填")</f>
        <v>0</v>
      </c>
      <c r="K45" s="44" t="n">
        <f>IFERROR(0+('示例公司三表'!K32/100),"待填")</f>
        <v>0</v>
      </c>
      <c r="L45" s="44" t="n">
        <f>IFERROR(0+('示例公司三表'!L32/100),"待填")</f>
        <v>0</v>
      </c>
      <c r="M45" s="44" t="n">
        <f>IFERROR(0+('示例公司三表'!M32/100),"待填")</f>
        <v>0</v>
      </c>
      <c r="N45" s="44" t="n">
        <f>IFERROR(0+('示例公司三表'!N32/100),"待填")</f>
        <v>0</v>
      </c>
      <c r="O45" s="44" t="n">
        <f>IFERROR(0+('示例公司三表'!O32/100),"待填")</f>
        <v>0</v>
      </c>
      <c r="P45" s="44" t="n">
        <f>IFERROR(0+('示例公司三表'!P32/100),"待填")</f>
        <v>0</v>
      </c>
      <c r="Q45" s="44" t="n">
        <f>IFERROR(0+('示例公司三表'!Q32/100),"待填")</f>
        <v>0</v>
      </c>
      <c r="R45" s="44" t="n">
        <f>IFERROR(0+('示例公司三表'!R32/100),"待填")</f>
        <v>0</v>
      </c>
      <c r="S45" s="44" t="n">
        <f>IFERROR(0+('示例公司三表'!S32/100),"待填")</f>
        <v>0</v>
      </c>
    </row>
    <row r="46" ht="18" customHeight="1">
      <c r="A46" s="2"/>
      <c r="B46" s="46" t="str"/>
      <c r="C46" s="69" t="str">
        <v>—资产减值损失</v>
      </c>
      <c r="D46" s="44" t="n">
        <f>IFERROR(0+(-('示例公司三表'!D33/100)),"待填")</f>
        <v>0</v>
      </c>
      <c r="E46" s="44" t="n">
        <f>IFERROR(0+(-('示例公司三表'!E33/100)),"待填")</f>
        <v>0</v>
      </c>
      <c r="F46" s="44" t="n">
        <f>IFERROR(0+(-('示例公司三表'!F33/100)),"待填")</f>
        <v>0</v>
      </c>
      <c r="G46" s="44" t="n">
        <f>IFERROR(0+(-('示例公司三表'!G33/100)),"待填")</f>
        <v>0</v>
      </c>
      <c r="H46" s="44" t="n">
        <f>IFERROR(0+(-('示例公司三表'!H33/100)),"待填")</f>
        <v>0</v>
      </c>
      <c r="I46" s="44" t="n">
        <f>IFERROR(0+(-('示例公司三表'!I33/100)),"待填")</f>
        <v>0</v>
      </c>
      <c r="J46" s="44" t="n">
        <f>IFERROR(0+(-('示例公司三表'!J33/100)),"待填")</f>
        <v>0</v>
      </c>
      <c r="K46" s="44" t="n">
        <f>IFERROR(0+(-('示例公司三表'!K33/100)),"待填")</f>
        <v>0</v>
      </c>
      <c r="L46" s="44" t="n">
        <f>IFERROR(0+(-('示例公司三表'!L33/100)),"待填")</f>
        <v>0</v>
      </c>
      <c r="M46" s="44" t="n">
        <f>IFERROR(0+('示例公司三表'!M33/100),"待填")</f>
        <v>0</v>
      </c>
      <c r="N46" s="44" t="n">
        <f>IFERROR(0+('示例公司三表'!N33/100),"待填")</f>
        <v>0</v>
      </c>
      <c r="O46" s="44" t="n">
        <f>IFERROR(0+('示例公司三表'!O33/100),"待填")</f>
        <v>0</v>
      </c>
      <c r="P46" s="44" t="n">
        <f>IFERROR(0+('示例公司三表'!P33/100),"待填")</f>
        <v>0</v>
      </c>
      <c r="Q46" s="44" t="n">
        <f>IFERROR(0+('示例公司三表'!Q33/100),"待填")</f>
        <v>0</v>
      </c>
      <c r="R46" s="44" t="n">
        <f>IFERROR(0+('示例公司三表'!R33/100),"待填")</f>
        <v>0</v>
      </c>
      <c r="S46" s="44" t="n">
        <f>IFERROR(0+('示例公司三表'!S33/100),"待填")</f>
        <v>0</v>
      </c>
    </row>
    <row r="47" ht="18" customHeight="1">
      <c r="A47" s="2"/>
      <c r="B47" s="46" t="str"/>
      <c r="C47" s="69" t="str">
        <v>—资产处置收益</v>
      </c>
      <c r="D47" s="44" t="n">
        <f>IFERROR(0+('示例公司三表'!D34/100),"待填")</f>
        <v>0</v>
      </c>
      <c r="E47" s="44" t="n">
        <f>IFERROR(0+('示例公司三表'!E34/100),"待填")</f>
        <v>0</v>
      </c>
      <c r="F47" s="44" t="n">
        <f>IFERROR(0+('示例公司三表'!F34/100),"待填")</f>
        <v>0</v>
      </c>
      <c r="G47" s="44" t="n">
        <f>IFERROR(0+('示例公司三表'!G34/100),"待填")</f>
        <v>0</v>
      </c>
      <c r="H47" s="44" t="n">
        <f>IFERROR(0+('示例公司三表'!H34/100),"待填")</f>
        <v>0</v>
      </c>
      <c r="I47" s="44" t="n">
        <f>IFERROR(0+('示例公司三表'!I34/100),"待填")</f>
        <v>0</v>
      </c>
      <c r="J47" s="44" t="n">
        <f>IFERROR(0+('示例公司三表'!J34/100),"待填")</f>
        <v>0</v>
      </c>
      <c r="K47" s="44" t="n">
        <f>IFERROR(0+('示例公司三表'!K34/100),"待填")</f>
        <v>0</v>
      </c>
      <c r="L47" s="44" t="n">
        <f>IFERROR(0+('示例公司三表'!L34/100),"待填")</f>
        <v>0</v>
      </c>
      <c r="M47" s="44" t="n">
        <f>IFERROR(0+('示例公司三表'!M34/100),"待填")</f>
        <v>0</v>
      </c>
      <c r="N47" s="44" t="n">
        <f>IFERROR(0+('示例公司三表'!N34/100),"待填")</f>
        <v>0</v>
      </c>
      <c r="O47" s="44" t="n">
        <f>IFERROR(0+('示例公司三表'!O34/100),"待填")</f>
        <v>0</v>
      </c>
      <c r="P47" s="44" t="n">
        <f>IFERROR(0+('示例公司三表'!P34/100),"待填")</f>
        <v>0</v>
      </c>
      <c r="Q47" s="44" t="n">
        <f>IFERROR(0+('示例公司三表'!Q34/100),"待填")</f>
        <v>0</v>
      </c>
      <c r="R47" s="44" t="n">
        <f>IFERROR(0+('示例公司三表'!R34/100),"待填")</f>
        <v>0</v>
      </c>
      <c r="S47" s="44" t="n">
        <f>IFERROR(0+('示例公司三表'!S34/100),"待填")</f>
        <v>0</v>
      </c>
    </row>
    <row r="48" ht="18" customHeight="1">
      <c r="A48" s="2"/>
      <c r="B48" s="46" t="str">
        <v>营业外支出 − 营业外收入</v>
      </c>
      <c r="C48" s="68" t="str">
        <v>非经营损失</v>
      </c>
      <c r="D48" s="63" t="n">
        <f>IFERROR(0+(('示例公司三表'!D37-'示例公司三表'!D36)/100),"待填")</f>
        <v>0</v>
      </c>
      <c r="E48" s="63" t="n">
        <f>IFERROR(0+(('示例公司三表'!E37-'示例公司三表'!E36)/100),"待填")</f>
        <v>0</v>
      </c>
      <c r="F48" s="63" t="n">
        <f>IFERROR(0+(('示例公司三表'!F37-'示例公司三表'!F36)/100),"待填")</f>
        <v>0</v>
      </c>
      <c r="G48" s="63" t="n">
        <f>IFERROR(0+(('示例公司三表'!G37-'示例公司三表'!G36)/100),"待填")</f>
        <v>0</v>
      </c>
      <c r="H48" s="63" t="n">
        <f>IFERROR(0+(('示例公司三表'!H37-'示例公司三表'!H36)/100),"待填")</f>
        <v>0</v>
      </c>
      <c r="I48" s="63" t="n">
        <f>IFERROR(0+(('示例公司三表'!I37-'示例公司三表'!I36)/100),"待填")</f>
        <v>0</v>
      </c>
      <c r="J48" s="63" t="n">
        <f>IFERROR(0+(('示例公司三表'!J37-'示例公司三表'!J36)/100),"待填")</f>
        <v>0</v>
      </c>
      <c r="K48" s="63" t="n">
        <f>IFERROR(0+(('示例公司三表'!K37-'示例公司三表'!K36)/100),"待填")</f>
        <v>0</v>
      </c>
      <c r="L48" s="63" t="n">
        <f>IFERROR(0+(('示例公司三表'!L37-'示例公司三表'!L36)/100),"待填")</f>
        <v>0</v>
      </c>
      <c r="M48" s="63" t="n">
        <f>IFERROR(0+(('示例公司三表'!M37-'示例公司三表'!M36)/100),"待填")</f>
        <v>0</v>
      </c>
      <c r="N48" s="63" t="n">
        <f>IFERROR(0+(('示例公司三表'!N37-'示例公司三表'!N36)/100),"待填")</f>
        <v>0</v>
      </c>
      <c r="O48" s="63" t="n">
        <f>IFERROR(0+(('示例公司三表'!O37-'示例公司三表'!O36)/100),"待填")</f>
        <v>0</v>
      </c>
      <c r="P48" s="63" t="n">
        <f>IFERROR(0+(('示例公司三表'!P37-'示例公司三表'!P36)/100),"待填")</f>
        <v>0</v>
      </c>
      <c r="Q48" s="63" t="n">
        <f>IFERROR(0+(('示例公司三表'!Q37-'示例公司三表'!Q36)/100),"待填")</f>
        <v>0</v>
      </c>
      <c r="R48" s="63" t="n">
        <f>IFERROR(0+(('示例公司三表'!R37-'示例公司三表'!R36)/100),"待填")</f>
        <v>0</v>
      </c>
      <c r="S48" s="63" t="n">
        <f>IFERROR(0+(('示例公司三表'!S37-'示例公司三表'!S36)/100),"待填")</f>
        <v>0</v>
      </c>
    </row>
    <row r="49" ht="36" customHeight="1">
      <c r="A49" s="2" t="str">
        <v>固定成本</v>
      </c>
      <c r="B49" s="46" t="str">
        <v>销售相关 + 管理相关 + 研发相关 + 制造其他</v>
      </c>
      <c r="C49" s="68" t="str">
        <v>业务费用（给广泛第三方的钱）</v>
      </c>
      <c r="D49" s="63" t="n">
        <f>IFERROR(0+(D50+D58+D68+D71),"待填")</f>
        <v>0</v>
      </c>
      <c r="E49" s="63" t="n">
        <f>IFERROR(0+(E50+E58+E68+E71),"待填")</f>
        <v>0</v>
      </c>
      <c r="F49" s="63" t="n">
        <f>IFERROR(0+(F50+F58+F68+F71),"待填")</f>
        <v>0</v>
      </c>
      <c r="G49" s="63" t="n">
        <f>IFERROR(0+(G50+G58+G68+G71),"待填")</f>
        <v>0</v>
      </c>
      <c r="H49" s="63" t="n">
        <f>IFERROR(0+(H50+H58+H68+H71),"待填")</f>
        <v>0</v>
      </c>
      <c r="I49" s="63" t="n">
        <f>IFERROR(0+(I50+I58+I68+I71),"待填")</f>
        <v>0</v>
      </c>
      <c r="J49" s="63" t="n">
        <f>IFERROR(0+(J50+J58+J68+J71),"待填")</f>
        <v>0</v>
      </c>
      <c r="K49" s="63" t="n">
        <f>IFERROR(0+(K50+K58+K68+K71),"待填")</f>
        <v>0</v>
      </c>
      <c r="L49" s="63" t="n">
        <f>IFERROR(0+(L50+L58+L68+L71),"待填")</f>
        <v>0</v>
      </c>
      <c r="M49" s="63" t="n">
        <f>IFERROR(0+(M50+M58+M68+M71),"待填")</f>
        <v>0</v>
      </c>
      <c r="N49" s="63" t="n">
        <f>IFERROR(0+(N50+N58+N68+N71),"待填")</f>
        <v>0</v>
      </c>
      <c r="O49" s="63" t="n">
        <f>IFERROR(0+(O50+O58+O68+O71),"待填")</f>
        <v>0</v>
      </c>
      <c r="P49" s="63" t="n">
        <f>IFERROR(0+(P50+P58+P68+P71),"待填")</f>
        <v>0</v>
      </c>
      <c r="Q49" s="63" t="n">
        <f>IFERROR(0+(Q50+Q58+Q68+Q71),"待填")</f>
        <v>0</v>
      </c>
      <c r="R49" s="63" t="n">
        <f>IFERROR(0+(R50+R58+R68+R71),"待填")</f>
        <v>0</v>
      </c>
      <c r="S49" s="63" t="n">
        <f>IFERROR(0+(S50+S58+S68+S71),"待填")</f>
        <v>0</v>
      </c>
    </row>
    <row r="50" ht="18" customHeight="1">
      <c r="A50" s="2"/>
      <c r="B50" s="46" t="str">
        <v>销售费用附注</v>
      </c>
      <c r="C50" s="70" t="str">
        <v>销售相关费用</v>
      </c>
      <c r="D50" s="48" t="n">
        <f>IFERROR(0+('示例公司附注底稿'!D8+'示例公司附注底稿'!D9+'示例公司附注底稿'!D10+'示例公司附注底稿'!D12+'示例公司附注底稿'!D13+'示例公司附注底稿'!D14),"待填")</f>
        <v>0</v>
      </c>
      <c r="E50" s="48" t="n">
        <f>IFERROR(0+('示例公司附注底稿'!E8+'示例公司附注底稿'!E9+'示例公司附注底稿'!E10+'示例公司附注底稿'!E12+'示例公司附注底稿'!E13+'示例公司附注底稿'!E14),"待填")</f>
        <v>0</v>
      </c>
      <c r="F50" s="48" t="n">
        <f>IFERROR(0+('示例公司附注底稿'!F8+'示例公司附注底稿'!F9+'示例公司附注底稿'!F10+'示例公司附注底稿'!F12+'示例公司附注底稿'!F13+'示例公司附注底稿'!F14),"待填")</f>
        <v>0</v>
      </c>
      <c r="G50" s="48" t="n">
        <f>IFERROR(0+('示例公司附注底稿'!G8+'示例公司附注底稿'!G9+'示例公司附注底稿'!G10+'示例公司附注底稿'!G12+'示例公司附注底稿'!G13+'示例公司附注底稿'!G14),"待填")</f>
        <v>0</v>
      </c>
      <c r="H50" s="48" t="n">
        <f>IFERROR(0+('示例公司附注底稿'!H8+'示例公司附注底稿'!H9+'示例公司附注底稿'!H10+'示例公司附注底稿'!H12+'示例公司附注底稿'!H13+'示例公司附注底稿'!H14),"待填")</f>
        <v>0</v>
      </c>
      <c r="I50" s="48" t="n">
        <f>IFERROR(0+('示例公司附注底稿'!I8+'示例公司附注底稿'!I9+'示例公司附注底稿'!I10+'示例公司附注底稿'!I12+'示例公司附注底稿'!I13+'示例公司附注底稿'!I14),"待填")</f>
        <v>0</v>
      </c>
      <c r="J50" s="48" t="n">
        <f>IFERROR(0+('示例公司附注底稿'!J8+'示例公司附注底稿'!J9+'示例公司附注底稿'!J10+'示例公司附注底稿'!J12+'示例公司附注底稿'!J13+'示例公司附注底稿'!J14),"待填")</f>
        <v>0</v>
      </c>
      <c r="K50" s="48" t="n">
        <f>IFERROR(0+('示例公司附注底稿'!K8+'示例公司附注底稿'!K9+'示例公司附注底稿'!K10+'示例公司附注底稿'!K12+'示例公司附注底稿'!K13+'示例公司附注底稿'!K14),"待填")</f>
        <v>0</v>
      </c>
      <c r="L50" s="48" t="n">
        <f>IFERROR(0+('示例公司附注底稿'!L8+'示例公司附注底稿'!L9+'示例公司附注底稿'!L10+'示例公司附注底稿'!L12+'示例公司附注底稿'!L13+'示例公司附注底稿'!L14),"待填")</f>
        <v>0</v>
      </c>
      <c r="M50" s="48" t="n">
        <f>IFERROR(0+('示例公司附注底稿'!M8+'示例公司附注底稿'!M9+'示例公司附注底稿'!M10+'示例公司附注底稿'!M12+'示例公司附注底稿'!M13+'示例公司附注底稿'!M14),"待填")</f>
        <v>0</v>
      </c>
      <c r="N50" s="48" t="n">
        <f>IFERROR(0+('示例公司附注底稿'!N8+'示例公司附注底稿'!N9+'示例公司附注底稿'!N10+'示例公司附注底稿'!N12+'示例公司附注底稿'!N13+'示例公司附注底稿'!N14),"待填")</f>
        <v>0</v>
      </c>
      <c r="O50" s="48" t="n">
        <f>IFERROR(0+('示例公司附注底稿'!O8+'示例公司附注底稿'!O9+'示例公司附注底稿'!O10+'示例公司附注底稿'!O12+'示例公司附注底稿'!O13+'示例公司附注底稿'!O14),"待填")</f>
        <v>0</v>
      </c>
      <c r="P50" s="48" t="n">
        <f>IFERROR(0+('示例公司附注底稿'!P8+'示例公司附注底稿'!P9+'示例公司附注底稿'!P10+'示例公司附注底稿'!P12+'示例公司附注底稿'!P13+'示例公司附注底稿'!P14),"待填")</f>
        <v>0</v>
      </c>
      <c r="Q50" s="48" t="n">
        <f>IFERROR(0+('示例公司附注底稿'!Q8+'示例公司附注底稿'!Q9+'示例公司附注底稿'!Q10+'示例公司附注底稿'!Q12+'示例公司附注底稿'!Q13+'示例公司附注底稿'!Q14),"待填")</f>
        <v>0</v>
      </c>
      <c r="R50" s="48" t="n">
        <f>IFERROR(0+('示例公司附注底稿'!R8+'示例公司附注底稿'!R9+'示例公司附注底稿'!R10+'示例公司附注底稿'!R12+'示例公司附注底稿'!R13+'示例公司附注底稿'!R14),"待填")</f>
        <v>0</v>
      </c>
      <c r="S50" s="48" t="n">
        <f>IFERROR(0+('示例公司附注底稿'!S8+'示例公司附注底稿'!S9+'示例公司附注底稿'!S10+'示例公司附注底稿'!S12+'示例公司附注底稿'!S13+'示例公司附注底稿'!S14),"待填")</f>
        <v>0</v>
      </c>
    </row>
    <row r="51" ht="18" customHeight="1">
      <c r="A51" s="2" t="str">
        <v>固定成本</v>
      </c>
      <c r="B51" s="46" t="str"/>
      <c r="C51" s="68" t="str">
        <v>售后服务费（给客户预备的钱，原隶属于销售费用）</v>
      </c>
      <c r="D51" s="63" t="n">
        <f>IFERROR(0+(D176+D177+D178),"待填")</f>
        <v>0</v>
      </c>
      <c r="E51" s="63" t="n">
        <f>IFERROR(0+(E176+E177+E178),"待填")</f>
        <v>0</v>
      </c>
      <c r="F51" s="63" t="n">
        <f>IFERROR(0+(F176+F177+F178),"待填")</f>
        <v>0</v>
      </c>
      <c r="G51" s="63" t="n">
        <f>IFERROR(0+(G176+G177+G178),"待填")</f>
        <v>0</v>
      </c>
      <c r="H51" s="63" t="n">
        <f>IFERROR(0+(H176+H177+H178),"待填")</f>
        <v>0</v>
      </c>
      <c r="I51" s="63" t="n">
        <f>IFERROR(0+(I176+I177+I178),"待填")</f>
        <v>0</v>
      </c>
      <c r="J51" s="63" t="n">
        <f>IFERROR(0+(J176+J177+J178),"待填")</f>
        <v>0</v>
      </c>
      <c r="K51" s="63" t="n">
        <f>IFERROR(0+(K176+K177+K178),"待填")</f>
        <v>0</v>
      </c>
      <c r="L51" s="63" t="n">
        <f>IFERROR(0+(L176+L177+L178),"待填")</f>
        <v>0</v>
      </c>
      <c r="M51" s="63" t="n">
        <f>IFERROR(0+(M176+M177+M178),"待填")</f>
        <v>0</v>
      </c>
      <c r="N51" s="63" t="n">
        <f>IFERROR(0+(N176+N177+N178),"待填")</f>
        <v>0</v>
      </c>
      <c r="O51" s="63" t="n">
        <f>IFERROR(0+(O176+O177+O178),"待填")</f>
        <v>0</v>
      </c>
      <c r="P51" s="63" t="n">
        <f>IFERROR(0+(P176+P177+P178),"待填")</f>
        <v>0</v>
      </c>
      <c r="Q51" s="63" t="n">
        <f>IFERROR(0+(Q176+Q177+Q178),"待填")</f>
        <v>0</v>
      </c>
      <c r="R51" s="63" t="n">
        <f>IFERROR(0+(R176+R177+R178),"待填")</f>
        <v>0</v>
      </c>
      <c r="S51" s="63" t="n">
        <f>IFERROR(0+(S176+S177+S178),"待填")</f>
        <v>0</v>
      </c>
    </row>
    <row r="52" ht="18" customHeight="1">
      <c r="A52" s="2"/>
      <c r="B52" s="46" t="str"/>
      <c r="C52" s="69" t="str">
        <v>—运杂仓储费</v>
      </c>
      <c r="D52" s="44" t="n">
        <f>IFERROR(0+('示例公司附注底稿'!D8),"待填")</f>
        <v>0</v>
      </c>
      <c r="E52" s="44" t="n">
        <f>IFERROR(0+('示例公司附注底稿'!E8),"待填")</f>
        <v>0</v>
      </c>
      <c r="F52" s="44" t="n">
        <f>IFERROR(0+('示例公司附注底稿'!F8),"待填")</f>
        <v>0</v>
      </c>
      <c r="G52" s="44" t="n">
        <f>IFERROR(0+('示例公司附注底稿'!G8),"待填")</f>
        <v>0</v>
      </c>
      <c r="H52" s="44" t="n">
        <f>IFERROR(0+('示例公司附注底稿'!H8),"待填")</f>
        <v>0</v>
      </c>
      <c r="I52" s="44" t="n">
        <f>IFERROR(0+('示例公司附注底稿'!I8),"待填")</f>
        <v>0</v>
      </c>
      <c r="J52" s="44" t="n">
        <f>IFERROR(0+('示例公司附注底稿'!J8),"待填")</f>
        <v>0</v>
      </c>
      <c r="K52" s="44" t="n">
        <f>IFERROR(0+('示例公司附注底稿'!K8),"待填")</f>
        <v>0</v>
      </c>
      <c r="L52" s="44" t="n">
        <f>IFERROR(0+('示例公司附注底稿'!L8),"待填")</f>
        <v>0</v>
      </c>
      <c r="M52" s="44" t="n">
        <f>IFERROR(0+('示例公司附注底稿'!M8),"待填")</f>
        <v>0</v>
      </c>
      <c r="N52" s="44" t="n">
        <f>IFERROR(0+('示例公司附注底稿'!N8),"待填")</f>
        <v>0</v>
      </c>
      <c r="O52" s="44" t="n">
        <f>IFERROR(0+('示例公司附注底稿'!O8),"待填")</f>
        <v>0</v>
      </c>
      <c r="P52" s="44" t="n">
        <f>IFERROR(0+('示例公司附注底稿'!P8),"待填")</f>
        <v>0</v>
      </c>
      <c r="Q52" s="44" t="n">
        <f>IFERROR(0+('示例公司附注底稿'!Q8),"待填")</f>
        <v>0</v>
      </c>
      <c r="R52" s="44" t="n">
        <f>IFERROR(0+('示例公司附注底稿'!R8),"待填")</f>
        <v>0</v>
      </c>
      <c r="S52" s="44" t="n">
        <f>IFERROR(0+('示例公司附注底稿'!S8),"待填")</f>
        <v>0</v>
      </c>
    </row>
    <row r="53" ht="18" customHeight="1">
      <c r="A53" s="2"/>
      <c r="B53" s="46" t="str"/>
      <c r="C53" s="69" t="str">
        <v>—代理手续费</v>
      </c>
      <c r="D53" s="44" t="n">
        <f>IFERROR(0+('示例公司附注底稿'!D9),"待填")</f>
        <v>0</v>
      </c>
      <c r="E53" s="44" t="n">
        <f>IFERROR(0+('示例公司附注底稿'!E9),"待填")</f>
        <v>0</v>
      </c>
      <c r="F53" s="44" t="n">
        <f>IFERROR(0+('示例公司附注底稿'!F9),"待填")</f>
        <v>0</v>
      </c>
      <c r="G53" s="44" t="n">
        <f>IFERROR(0+('示例公司附注底稿'!G9),"待填")</f>
        <v>0</v>
      </c>
      <c r="H53" s="44" t="n">
        <f>IFERROR(0+('示例公司附注底稿'!H9),"待填")</f>
        <v>0</v>
      </c>
      <c r="I53" s="44" t="n">
        <f>IFERROR(0+('示例公司附注底稿'!I9),"待填")</f>
        <v>0</v>
      </c>
      <c r="J53" s="44" t="n">
        <f>IFERROR(0+('示例公司附注底稿'!J9),"待填")</f>
        <v>0</v>
      </c>
      <c r="K53" s="44" t="n">
        <f>IFERROR(0+('示例公司附注底稿'!K9),"待填")</f>
        <v>0</v>
      </c>
      <c r="L53" s="44" t="n">
        <f>IFERROR(0+('示例公司附注底稿'!L9),"待填")</f>
        <v>0</v>
      </c>
      <c r="M53" s="44" t="n">
        <f>IFERROR(0+('示例公司附注底稿'!M9),"待填")</f>
        <v>0</v>
      </c>
      <c r="N53" s="44" t="n">
        <f>IFERROR(0+('示例公司附注底稿'!N9),"待填")</f>
        <v>0</v>
      </c>
      <c r="O53" s="44" t="n">
        <f>IFERROR(0+('示例公司附注底稿'!O9),"待填")</f>
        <v>0</v>
      </c>
      <c r="P53" s="44" t="n">
        <f>IFERROR(0+('示例公司附注底稿'!P9),"待填")</f>
        <v>0</v>
      </c>
      <c r="Q53" s="44" t="n">
        <f>IFERROR(0+('示例公司附注底稿'!Q9),"待填")</f>
        <v>0</v>
      </c>
      <c r="R53" s="44" t="n">
        <f>IFERROR(0+('示例公司附注底稿'!R9),"待填")</f>
        <v>0</v>
      </c>
      <c r="S53" s="44" t="n">
        <f>IFERROR(0+('示例公司附注底稿'!S9),"待填")</f>
        <v>0</v>
      </c>
    </row>
    <row r="54" ht="18" customHeight="1">
      <c r="A54" s="2"/>
      <c r="B54" s="46" t="str"/>
      <c r="C54" s="69" t="str">
        <v>—业务招待费</v>
      </c>
      <c r="D54" s="44" t="n">
        <f>IFERROR(0+('示例公司附注底稿'!D10),"待填")</f>
        <v>0</v>
      </c>
      <c r="E54" s="44" t="n">
        <f>IFERROR(0+('示例公司附注底稿'!E10),"待填")</f>
        <v>0</v>
      </c>
      <c r="F54" s="44" t="n">
        <f>IFERROR(0+('示例公司附注底稿'!F10),"待填")</f>
        <v>0</v>
      </c>
      <c r="G54" s="44" t="n">
        <f>IFERROR(0+('示例公司附注底稿'!G10),"待填")</f>
        <v>0</v>
      </c>
      <c r="H54" s="44" t="n">
        <f>IFERROR(0+('示例公司附注底稿'!H10),"待填")</f>
        <v>0</v>
      </c>
      <c r="I54" s="44" t="n">
        <f>IFERROR(0+('示例公司附注底稿'!I10),"待填")</f>
        <v>0</v>
      </c>
      <c r="J54" s="44" t="n">
        <f>IFERROR(0+('示例公司附注底稿'!J10),"待填")</f>
        <v>0</v>
      </c>
      <c r="K54" s="44" t="n">
        <f>IFERROR(0+('示例公司附注底稿'!K10),"待填")</f>
        <v>0</v>
      </c>
      <c r="L54" s="44" t="n">
        <f>IFERROR(0+('示例公司附注底稿'!L10),"待填")</f>
        <v>0</v>
      </c>
      <c r="M54" s="44" t="n">
        <f>IFERROR(0+('示例公司附注底稿'!M10),"待填")</f>
        <v>0</v>
      </c>
      <c r="N54" s="44" t="n">
        <f>IFERROR(0+('示例公司附注底稿'!N10),"待填")</f>
        <v>0</v>
      </c>
      <c r="O54" s="44" t="n">
        <f>IFERROR(0+('示例公司附注底稿'!O10),"待填")</f>
        <v>0</v>
      </c>
      <c r="P54" s="44" t="n">
        <f>IFERROR(0+('示例公司附注底稿'!P10),"待填")</f>
        <v>0</v>
      </c>
      <c r="Q54" s="44" t="n">
        <f>IFERROR(0+('示例公司附注底稿'!Q10),"待填")</f>
        <v>0</v>
      </c>
      <c r="R54" s="44" t="n">
        <f>IFERROR(0+('示例公司附注底稿'!R10),"待填")</f>
        <v>0</v>
      </c>
      <c r="S54" s="44" t="n">
        <f>IFERROR(0+('示例公司附注底稿'!S10),"待填")</f>
        <v>0</v>
      </c>
    </row>
    <row r="55" ht="18" customHeight="1">
      <c r="A55" s="2"/>
      <c r="B55" s="46" t="str"/>
      <c r="C55" s="69" t="str">
        <v>—办公费</v>
      </c>
      <c r="D55" s="44" t="n">
        <f>IFERROR(0+('示例公司附注底稿'!D12),"待填")</f>
        <v>0</v>
      </c>
      <c r="E55" s="44" t="n">
        <f>IFERROR(0+('示例公司附注底稿'!E12),"待填")</f>
        <v>0</v>
      </c>
      <c r="F55" s="44" t="n">
        <f>IFERROR(0+('示例公司附注底稿'!F12),"待填")</f>
        <v>0</v>
      </c>
      <c r="G55" s="44" t="n">
        <f>IFERROR(0+('示例公司附注底稿'!G12),"待填")</f>
        <v>0</v>
      </c>
      <c r="H55" s="44" t="n">
        <f>IFERROR(0+('示例公司附注底稿'!H12),"待填")</f>
        <v>0</v>
      </c>
      <c r="I55" s="44" t="n">
        <f>IFERROR(0+('示例公司附注底稿'!I12),"待填")</f>
        <v>0</v>
      </c>
      <c r="J55" s="44" t="n">
        <f>IFERROR(0+('示例公司附注底稿'!J12),"待填")</f>
        <v>0</v>
      </c>
      <c r="K55" s="44" t="n">
        <f>IFERROR(0+('示例公司附注底稿'!K12),"待填")</f>
        <v>0</v>
      </c>
      <c r="L55" s="44" t="n">
        <f>IFERROR(0+('示例公司附注底稿'!L12),"待填")</f>
        <v>0</v>
      </c>
      <c r="M55" s="44" t="n">
        <f>IFERROR(0+('示例公司附注底稿'!M12),"待填")</f>
        <v>0</v>
      </c>
      <c r="N55" s="44" t="n">
        <f>IFERROR(0+('示例公司附注底稿'!N12),"待填")</f>
        <v>0</v>
      </c>
      <c r="O55" s="44" t="n">
        <f>IFERROR(0+('示例公司附注底稿'!O12),"待填")</f>
        <v>0</v>
      </c>
      <c r="P55" s="44" t="n">
        <f>IFERROR(0+('示例公司附注底稿'!P12),"待填")</f>
        <v>0</v>
      </c>
      <c r="Q55" s="44" t="n">
        <f>IFERROR(0+('示例公司附注底稿'!Q12),"待填")</f>
        <v>0</v>
      </c>
      <c r="R55" s="44" t="n">
        <f>IFERROR(0+('示例公司附注底稿'!R12),"待填")</f>
        <v>0</v>
      </c>
      <c r="S55" s="44" t="n">
        <f>IFERROR(0+('示例公司附注底稿'!S12),"待填")</f>
        <v>0</v>
      </c>
    </row>
    <row r="56" ht="18" customHeight="1">
      <c r="A56" s="2"/>
      <c r="B56" s="46" t="str"/>
      <c r="C56" s="69" t="str">
        <v>—差旅费</v>
      </c>
      <c r="D56" s="44" t="n">
        <f>IFERROR(0+('示例公司附注底稿'!D13),"待填")</f>
        <v>0</v>
      </c>
      <c r="E56" s="44" t="n">
        <f>IFERROR(0+('示例公司附注底稿'!E13),"待填")</f>
        <v>0</v>
      </c>
      <c r="F56" s="44" t="n">
        <f>IFERROR(0+('示例公司附注底稿'!F13),"待填")</f>
        <v>0</v>
      </c>
      <c r="G56" s="44" t="n">
        <f>IFERROR(0+('示例公司附注底稿'!G13),"待填")</f>
        <v>0</v>
      </c>
      <c r="H56" s="44" t="n">
        <f>IFERROR(0+('示例公司附注底稿'!H13),"待填")</f>
        <v>0</v>
      </c>
      <c r="I56" s="44" t="n">
        <f>IFERROR(0+('示例公司附注底稿'!I13),"待填")</f>
        <v>0</v>
      </c>
      <c r="J56" s="44" t="n">
        <f>IFERROR(0+('示例公司附注底稿'!J13),"待填")</f>
        <v>0</v>
      </c>
      <c r="K56" s="44" t="n">
        <f>IFERROR(0+('示例公司附注底稿'!K13),"待填")</f>
        <v>0</v>
      </c>
      <c r="L56" s="44" t="n">
        <f>IFERROR(0+('示例公司附注底稿'!L13),"待填")</f>
        <v>0</v>
      </c>
      <c r="M56" s="44" t="n">
        <f>IFERROR(0+('示例公司附注底稿'!M13),"待填")</f>
        <v>0</v>
      </c>
      <c r="N56" s="44" t="n">
        <f>IFERROR(0+('示例公司附注底稿'!N13),"待填")</f>
        <v>0</v>
      </c>
      <c r="O56" s="44" t="n">
        <f>IFERROR(0+('示例公司附注底稿'!O13),"待填")</f>
        <v>0</v>
      </c>
      <c r="P56" s="44" t="n">
        <f>IFERROR(0+('示例公司附注底稿'!P13),"待填")</f>
        <v>0</v>
      </c>
      <c r="Q56" s="44" t="n">
        <f>IFERROR(0+('示例公司附注底稿'!Q13),"待填")</f>
        <v>0</v>
      </c>
      <c r="R56" s="44" t="n">
        <f>IFERROR(0+('示例公司附注底稿'!R13),"待填")</f>
        <v>0</v>
      </c>
      <c r="S56" s="44" t="n">
        <f>IFERROR(0+('示例公司附注底稿'!S13),"待填")</f>
        <v>0</v>
      </c>
    </row>
    <row r="57" ht="18" customHeight="1">
      <c r="A57" s="2"/>
      <c r="B57" s="46" t="str"/>
      <c r="C57" s="69" t="str">
        <v>—其他</v>
      </c>
      <c r="D57" s="44" t="n">
        <f>IFERROR(0+('示例公司附注底稿'!D14),"待填")</f>
        <v>0</v>
      </c>
      <c r="E57" s="44" t="n">
        <f>IFERROR(0+('示例公司附注底稿'!E14),"待填")</f>
        <v>0</v>
      </c>
      <c r="F57" s="44" t="n">
        <f>IFERROR(0+('示例公司附注底稿'!F14),"待填")</f>
        <v>0</v>
      </c>
      <c r="G57" s="44" t="n">
        <f>IFERROR(0+('示例公司附注底稿'!G14),"待填")</f>
        <v>0</v>
      </c>
      <c r="H57" s="44" t="n">
        <f>IFERROR(0+('示例公司附注底稿'!H14),"待填")</f>
        <v>0</v>
      </c>
      <c r="I57" s="44" t="n">
        <f>IFERROR(0+('示例公司附注底稿'!I14),"待填")</f>
        <v>0</v>
      </c>
      <c r="J57" s="44" t="n">
        <f>IFERROR(0+('示例公司附注底稿'!J14),"待填")</f>
        <v>0</v>
      </c>
      <c r="K57" s="44" t="n">
        <f>IFERROR(0+('示例公司附注底稿'!K14),"待填")</f>
        <v>0</v>
      </c>
      <c r="L57" s="44" t="n">
        <f>IFERROR(0+('示例公司附注底稿'!L14),"待填")</f>
        <v>0</v>
      </c>
      <c r="M57" s="44" t="n">
        <f>IFERROR(0+('示例公司附注底稿'!M14),"待填")</f>
        <v>0</v>
      </c>
      <c r="N57" s="44" t="n">
        <f>IFERROR(0+('示例公司附注底稿'!N14),"待填")</f>
        <v>0</v>
      </c>
      <c r="O57" s="44" t="n">
        <f>IFERROR(0+('示例公司附注底稿'!O14),"待填")</f>
        <v>0</v>
      </c>
      <c r="P57" s="44" t="n">
        <f>IFERROR(0+('示例公司附注底稿'!P14),"待填")</f>
        <v>0</v>
      </c>
      <c r="Q57" s="44" t="n">
        <f>IFERROR(0+('示例公司附注底稿'!Q14),"待填")</f>
        <v>0</v>
      </c>
      <c r="R57" s="44" t="n">
        <f>IFERROR(0+('示例公司附注底稿'!R14),"待填")</f>
        <v>0</v>
      </c>
      <c r="S57" s="44" t="n">
        <f>IFERROR(0+('示例公司附注底稿'!S14),"待填")</f>
        <v>0</v>
      </c>
    </row>
    <row r="58" ht="18" customHeight="1">
      <c r="A58" s="2"/>
      <c r="B58" s="46" t="str">
        <v>管理费用附注</v>
      </c>
      <c r="C58" s="70" t="str">
        <v>管理相关费用</v>
      </c>
      <c r="D58" s="48" t="n">
        <f>IFERROR(0+('示例公司附注底稿'!D18+'示例公司附注底稿'!D20+'示例公司附注底稿'!D21+'示例公司附注底稿'!D22+'示例公司附注底稿'!D23+'示例公司附注底稿'!D24+'示例公司附注底稿'!D26+'示例公司附注底稿'!D27+'示例公司附注底稿'!D29),"待填")</f>
        <v>0</v>
      </c>
      <c r="E58" s="48" t="n">
        <f>IFERROR(0+('示例公司附注底稿'!E18+'示例公司附注底稿'!E20+'示例公司附注底稿'!E21+'示例公司附注底稿'!E22+'示例公司附注底稿'!E23+'示例公司附注底稿'!E24+'示例公司附注底稿'!E26+'示例公司附注底稿'!E27+'示例公司附注底稿'!E29),"待填")</f>
        <v>0</v>
      </c>
      <c r="F58" s="48" t="n">
        <f>IFERROR(0+('示例公司附注底稿'!F18+'示例公司附注底稿'!F20+'示例公司附注底稿'!F21+'示例公司附注底稿'!F22+'示例公司附注底稿'!F23+'示例公司附注底稿'!F24+'示例公司附注底稿'!F26+'示例公司附注底稿'!F27+'示例公司附注底稿'!F29),"待填")</f>
        <v>0</v>
      </c>
      <c r="G58" s="48" t="n">
        <f>IFERROR(0+('示例公司附注底稿'!G18+'示例公司附注底稿'!G20+'示例公司附注底稿'!G21+'示例公司附注底稿'!G22+'示例公司附注底稿'!G23+'示例公司附注底稿'!G24+'示例公司附注底稿'!G26+'示例公司附注底稿'!G27+'示例公司附注底稿'!G29),"待填")</f>
        <v>0</v>
      </c>
      <c r="H58" s="48" t="n">
        <f>IFERROR(0+('示例公司附注底稿'!H18+'示例公司附注底稿'!H20+'示例公司附注底稿'!H21+'示例公司附注底稿'!H22+'示例公司附注底稿'!H23+'示例公司附注底稿'!H24+'示例公司附注底稿'!H26+'示例公司附注底稿'!H27+'示例公司附注底稿'!H29),"待填")</f>
        <v>0</v>
      </c>
      <c r="I58" s="48" t="n">
        <f>IFERROR(0+('示例公司附注底稿'!I18+'示例公司附注底稿'!I20+'示例公司附注底稿'!I21+'示例公司附注底稿'!I22+'示例公司附注底稿'!I23+'示例公司附注底稿'!I24+'示例公司附注底稿'!I26+'示例公司附注底稿'!I27+'示例公司附注底稿'!I29),"待填")</f>
        <v>0</v>
      </c>
      <c r="J58" s="48" t="n">
        <f>IFERROR(0+('示例公司附注底稿'!J18+'示例公司附注底稿'!J20+'示例公司附注底稿'!J21+'示例公司附注底稿'!J22+'示例公司附注底稿'!J23+'示例公司附注底稿'!J24+'示例公司附注底稿'!J26+'示例公司附注底稿'!J27+'示例公司附注底稿'!J29),"待填")</f>
        <v>0</v>
      </c>
      <c r="K58" s="48" t="n">
        <f>IFERROR(0+('示例公司附注底稿'!K18+'示例公司附注底稿'!K20+'示例公司附注底稿'!K21+'示例公司附注底稿'!K22+'示例公司附注底稿'!K23+'示例公司附注底稿'!K24+'示例公司附注底稿'!K26+'示例公司附注底稿'!K27+'示例公司附注底稿'!K29),"待填")</f>
        <v>0</v>
      </c>
      <c r="L58" s="48" t="n">
        <f>IFERROR(0+('示例公司附注底稿'!L18+'示例公司附注底稿'!L20+'示例公司附注底稿'!L21+'示例公司附注底稿'!L22+'示例公司附注底稿'!L23+'示例公司附注底稿'!L24+'示例公司附注底稿'!L26+'示例公司附注底稿'!L27+'示例公司附注底稿'!L29),"待填")</f>
        <v>0</v>
      </c>
      <c r="M58" s="48" t="n">
        <f>IFERROR(0+('示例公司附注底稿'!M18+'示例公司附注底稿'!M20+'示例公司附注底稿'!M21+'示例公司附注底稿'!M22+'示例公司附注底稿'!M23+'示例公司附注底稿'!M24+'示例公司附注底稿'!M26+'示例公司附注底稿'!M27+'示例公司附注底稿'!M29),"待填")</f>
        <v>0</v>
      </c>
      <c r="N58" s="48" t="n">
        <f>IFERROR(0+('示例公司附注底稿'!N18+'示例公司附注底稿'!N20+'示例公司附注底稿'!N21+'示例公司附注底稿'!N22+'示例公司附注底稿'!N23+'示例公司附注底稿'!N24+'示例公司附注底稿'!N26+'示例公司附注底稿'!N27+'示例公司附注底稿'!N29),"待填")</f>
        <v>0</v>
      </c>
      <c r="O58" s="48" t="n">
        <f>IFERROR(0+('示例公司附注底稿'!O18+'示例公司附注底稿'!O20+'示例公司附注底稿'!O21+'示例公司附注底稿'!O22+'示例公司附注底稿'!O23+'示例公司附注底稿'!O24+'示例公司附注底稿'!O26+'示例公司附注底稿'!O27+'示例公司附注底稿'!O29),"待填")</f>
        <v>0</v>
      </c>
      <c r="P58" s="48" t="n">
        <f>IFERROR(0+('示例公司附注底稿'!P18+'示例公司附注底稿'!P20+'示例公司附注底稿'!P21+'示例公司附注底稿'!P22+'示例公司附注底稿'!P23+'示例公司附注底稿'!P24+'示例公司附注底稿'!P26+'示例公司附注底稿'!P27+'示例公司附注底稿'!P29),"待填")</f>
        <v>0</v>
      </c>
      <c r="Q58" s="48" t="n">
        <f>IFERROR(0+('示例公司附注底稿'!Q18+'示例公司附注底稿'!Q20+'示例公司附注底稿'!Q21+'示例公司附注底稿'!Q22+'示例公司附注底稿'!Q23+'示例公司附注底稿'!Q24+'示例公司附注底稿'!Q26+'示例公司附注底稿'!Q27+'示例公司附注底稿'!Q29),"待填")</f>
        <v>0</v>
      </c>
      <c r="R58" s="48" t="n">
        <f>IFERROR(0+('示例公司附注底稿'!R18+'示例公司附注底稿'!R20+'示例公司附注底稿'!R21+'示例公司附注底稿'!R22+'示例公司附注底稿'!R23+'示例公司附注底稿'!R24+'示例公司附注底稿'!R26+'示例公司附注底稿'!R27+'示例公司附注底稿'!R29),"待填")</f>
        <v>0</v>
      </c>
      <c r="S58" s="48" t="n">
        <f>IFERROR(0+('示例公司附注底稿'!S18+'示例公司附注底稿'!S20+'示例公司附注底稿'!S21+'示例公司附注底稿'!S22+'示例公司附注底稿'!S23+'示例公司附注底稿'!S24+'示例公司附注底稿'!S26+'示例公司附注底稿'!S27+'示例公司附注底稿'!S29),"待填")</f>
        <v>0</v>
      </c>
    </row>
    <row r="59" ht="18" customHeight="1">
      <c r="A59" s="2"/>
      <c r="B59" s="46" t="str"/>
      <c r="C59" s="69" t="str">
        <v>—研究开发费</v>
      </c>
      <c r="D59" s="44" t="n">
        <f>IFERROR(0+('示例公司附注底稿'!D18),"待填")</f>
        <v>0</v>
      </c>
      <c r="E59" s="44" t="n">
        <f>IFERROR(0+('示例公司附注底稿'!E18),"待填")</f>
        <v>0</v>
      </c>
      <c r="F59" s="44" t="n">
        <f>IFERROR(0+('示例公司附注底稿'!F18),"待填")</f>
        <v>0</v>
      </c>
      <c r="G59" s="44" t="n">
        <f>IFERROR(0+('示例公司附注底稿'!G18),"待填")</f>
        <v>0</v>
      </c>
      <c r="H59" s="44" t="n">
        <f>IFERROR(0+('示例公司附注底稿'!H18),"待填")</f>
        <v>0</v>
      </c>
      <c r="I59" s="44" t="n">
        <f>IFERROR(0+('示例公司附注底稿'!I18),"待填")</f>
        <v>0</v>
      </c>
      <c r="J59" s="44" t="n">
        <f>IFERROR(0+('示例公司附注底稿'!J18),"待填")</f>
        <v>0</v>
      </c>
      <c r="K59" s="44" t="n">
        <f>IFERROR(0+('示例公司附注底稿'!K18),"待填")</f>
        <v>0</v>
      </c>
      <c r="L59" s="44" t="n">
        <f>IFERROR(0+('示例公司附注底稿'!L18),"待填")</f>
        <v>0</v>
      </c>
      <c r="M59" s="44" t="n">
        <f>IFERROR(0+('示例公司附注底稿'!M18),"待填")</f>
        <v>0</v>
      </c>
      <c r="N59" s="44" t="n">
        <f>IFERROR(0+('示例公司附注底稿'!N18),"待填")</f>
        <v>0</v>
      </c>
      <c r="O59" s="44" t="n">
        <f>IFERROR(0+('示例公司附注底稿'!O18),"待填")</f>
        <v>0</v>
      </c>
      <c r="P59" s="44" t="n">
        <f>IFERROR(0+('示例公司附注底稿'!P18),"待填")</f>
        <v>0</v>
      </c>
      <c r="Q59" s="44" t="n">
        <f>IFERROR(0+('示例公司附注底稿'!Q18),"待填")</f>
        <v>0</v>
      </c>
      <c r="R59" s="44" t="n">
        <f>IFERROR(0+('示例公司附注底稿'!R18),"待填")</f>
        <v>0</v>
      </c>
      <c r="S59" s="44" t="n">
        <f>IFERROR(0+('示例公司附注底稿'!S18),"待填")</f>
        <v>0</v>
      </c>
    </row>
    <row r="60" ht="18" customHeight="1">
      <c r="A60" s="2"/>
      <c r="B60" s="46" t="str"/>
      <c r="C60" s="69" t="str">
        <v>—业务招待费</v>
      </c>
      <c r="D60" s="44" t="n">
        <f>IFERROR(0+('示例公司附注底稿'!D20),"待填")</f>
        <v>0</v>
      </c>
      <c r="E60" s="44" t="n">
        <f>IFERROR(0+('示例公司附注底稿'!E20),"待填")</f>
        <v>0</v>
      </c>
      <c r="F60" s="44" t="n">
        <f>IFERROR(0+('示例公司附注底稿'!F20),"待填")</f>
        <v>0</v>
      </c>
      <c r="G60" s="44" t="n">
        <f>IFERROR(0+('示例公司附注底稿'!G20),"待填")</f>
        <v>0</v>
      </c>
      <c r="H60" s="44" t="n">
        <f>IFERROR(0+('示例公司附注底稿'!H20),"待填")</f>
        <v>0</v>
      </c>
      <c r="I60" s="44" t="n">
        <f>IFERROR(0+('示例公司附注底稿'!I20),"待填")</f>
        <v>0</v>
      </c>
      <c r="J60" s="44" t="n">
        <f>IFERROR(0+('示例公司附注底稿'!J20),"待填")</f>
        <v>0</v>
      </c>
      <c r="K60" s="44" t="n">
        <f>IFERROR(0+('示例公司附注底稿'!K20),"待填")</f>
        <v>0</v>
      </c>
      <c r="L60" s="44" t="n">
        <f>IFERROR(0+('示例公司附注底稿'!L20),"待填")</f>
        <v>0</v>
      </c>
      <c r="M60" s="44" t="n">
        <f>IFERROR(0+('示例公司附注底稿'!M20),"待填")</f>
        <v>0</v>
      </c>
      <c r="N60" s="44" t="n">
        <f>IFERROR(0+('示例公司附注底稿'!N20),"待填")</f>
        <v>0</v>
      </c>
      <c r="O60" s="44" t="n">
        <f>IFERROR(0+('示例公司附注底稿'!O20),"待填")</f>
        <v>0</v>
      </c>
      <c r="P60" s="44" t="n">
        <f>IFERROR(0+('示例公司附注底稿'!P20),"待填")</f>
        <v>0</v>
      </c>
      <c r="Q60" s="44" t="n">
        <f>IFERROR(0+('示例公司附注底稿'!Q20),"待填")</f>
        <v>0</v>
      </c>
      <c r="R60" s="44" t="n">
        <f>IFERROR(0+('示例公司附注底稿'!R20),"待填")</f>
        <v>0</v>
      </c>
      <c r="S60" s="44" t="n">
        <f>IFERROR(0+('示例公司附注底稿'!S20),"待填")</f>
        <v>0</v>
      </c>
    </row>
    <row r="61" ht="18" customHeight="1">
      <c r="A61" s="2"/>
      <c r="B61" s="46" t="str"/>
      <c r="C61" s="69" t="str">
        <v>—税金</v>
      </c>
      <c r="D61" s="44" t="n">
        <f>IFERROR(0+('示例公司附注底稿'!D21),"待填")</f>
        <v>0</v>
      </c>
      <c r="E61" s="44" t="n">
        <f>IFERROR(0+('示例公司附注底稿'!E21),"待填")</f>
        <v>0</v>
      </c>
      <c r="F61" s="44" t="n">
        <f>IFERROR(0+('示例公司附注底稿'!F21),"待填")</f>
        <v>0</v>
      </c>
      <c r="G61" s="44" t="n">
        <f>IFERROR(0+('示例公司附注底稿'!G21),"待填")</f>
        <v>0</v>
      </c>
      <c r="H61" s="44" t="n">
        <f>IFERROR(0+('示例公司附注底稿'!H21),"待填")</f>
        <v>0</v>
      </c>
      <c r="I61" s="44" t="n">
        <f>IFERROR(0+('示例公司附注底稿'!I21),"待填")</f>
        <v>0</v>
      </c>
      <c r="J61" s="44" t="n">
        <f>IFERROR(0+('示例公司附注底稿'!J21),"待填")</f>
        <v>0</v>
      </c>
      <c r="K61" s="44" t="n">
        <f>IFERROR(0+('示例公司附注底稿'!K21),"待填")</f>
        <v>0</v>
      </c>
      <c r="L61" s="44" t="n">
        <f>IFERROR(0+('示例公司附注底稿'!L21),"待填")</f>
        <v>0</v>
      </c>
      <c r="M61" s="44" t="n">
        <f>IFERROR(0+('示例公司附注底稿'!M21),"待填")</f>
        <v>0</v>
      </c>
      <c r="N61" s="44" t="n">
        <f>IFERROR(0+('示例公司附注底稿'!N21),"待填")</f>
        <v>0</v>
      </c>
      <c r="O61" s="44" t="n">
        <f>IFERROR(0+('示例公司附注底稿'!O21),"待填")</f>
        <v>0</v>
      </c>
      <c r="P61" s="44" t="n">
        <f>IFERROR(0+('示例公司附注底稿'!P21),"待填")</f>
        <v>0</v>
      </c>
      <c r="Q61" s="44" t="n">
        <f>IFERROR(0+('示例公司附注底稿'!Q21),"待填")</f>
        <v>0</v>
      </c>
      <c r="R61" s="44" t="n">
        <f>IFERROR(0+('示例公司附注底稿'!R21),"待填")</f>
        <v>0</v>
      </c>
      <c r="S61" s="44" t="n">
        <f>IFERROR(0+('示例公司附注底稿'!S21),"待填")</f>
        <v>0</v>
      </c>
    </row>
    <row r="62" ht="18" customHeight="1">
      <c r="A62" s="2"/>
      <c r="B62" s="46" t="str"/>
      <c r="C62" s="69" t="str">
        <v>—办公费</v>
      </c>
      <c r="D62" s="44" t="n">
        <f>IFERROR(0+('示例公司附注底稿'!D22),"待填")</f>
        <v>0</v>
      </c>
      <c r="E62" s="44" t="n">
        <f>IFERROR(0+('示例公司附注底稿'!E22),"待填")</f>
        <v>0</v>
      </c>
      <c r="F62" s="44" t="n">
        <f>IFERROR(0+('示例公司附注底稿'!F22),"待填")</f>
        <v>0</v>
      </c>
      <c r="G62" s="44" t="n">
        <f>IFERROR(0+('示例公司附注底稿'!G22),"待填")</f>
        <v>0</v>
      </c>
      <c r="H62" s="44" t="n">
        <f>IFERROR(0+('示例公司附注底稿'!H22),"待填")</f>
        <v>0</v>
      </c>
      <c r="I62" s="44" t="n">
        <f>IFERROR(0+('示例公司附注底稿'!I22),"待填")</f>
        <v>0</v>
      </c>
      <c r="J62" s="44" t="n">
        <f>IFERROR(0+('示例公司附注底稿'!J22),"待填")</f>
        <v>0</v>
      </c>
      <c r="K62" s="44" t="n">
        <f>IFERROR(0+('示例公司附注底稿'!K22),"待填")</f>
        <v>0</v>
      </c>
      <c r="L62" s="44" t="n">
        <f>IFERROR(0+('示例公司附注底稿'!L22),"待填")</f>
        <v>0</v>
      </c>
      <c r="M62" s="44" t="n">
        <f>IFERROR(0+('示例公司附注底稿'!M22),"待填")</f>
        <v>0</v>
      </c>
      <c r="N62" s="44" t="n">
        <f>IFERROR(0+('示例公司附注底稿'!N22),"待填")</f>
        <v>0</v>
      </c>
      <c r="O62" s="44" t="n">
        <f>IFERROR(0+('示例公司附注底稿'!O22),"待填")</f>
        <v>0</v>
      </c>
      <c r="P62" s="44" t="n">
        <f>IFERROR(0+('示例公司附注底稿'!P22),"待填")</f>
        <v>0</v>
      </c>
      <c r="Q62" s="44" t="n">
        <f>IFERROR(0+('示例公司附注底稿'!Q22),"待填")</f>
        <v>0</v>
      </c>
      <c r="R62" s="44" t="n">
        <f>IFERROR(0+('示例公司附注底稿'!R22),"待填")</f>
        <v>0</v>
      </c>
      <c r="S62" s="44" t="n">
        <f>IFERROR(0+('示例公司附注底稿'!S22),"待填")</f>
        <v>0</v>
      </c>
    </row>
    <row r="63" ht="18" customHeight="1">
      <c r="A63" s="2"/>
      <c r="B63" s="46" t="str"/>
      <c r="C63" s="69" t="str">
        <v>—评估咨询费</v>
      </c>
      <c r="D63" s="44" t="n">
        <f>IFERROR(0+('示例公司附注底稿'!D23),"待填")</f>
        <v>0</v>
      </c>
      <c r="E63" s="44" t="n">
        <f>IFERROR(0+('示例公司附注底稿'!E23),"待填")</f>
        <v>0</v>
      </c>
      <c r="F63" s="44" t="n">
        <f>IFERROR(0+('示例公司附注底稿'!F23),"待填")</f>
        <v>0</v>
      </c>
      <c r="G63" s="44" t="n">
        <f>IFERROR(0+('示例公司附注底稿'!G23),"待填")</f>
        <v>0</v>
      </c>
      <c r="H63" s="44" t="n">
        <f>IFERROR(0+('示例公司附注底稿'!H23),"待填")</f>
        <v>0</v>
      </c>
      <c r="I63" s="44" t="n">
        <f>IFERROR(0+('示例公司附注底稿'!I23),"待填")</f>
        <v>0</v>
      </c>
      <c r="J63" s="44" t="n">
        <f>IFERROR(0+('示例公司附注底稿'!J23),"待填")</f>
        <v>0</v>
      </c>
      <c r="K63" s="44" t="n">
        <f>IFERROR(0+('示例公司附注底稿'!K23),"待填")</f>
        <v>0</v>
      </c>
      <c r="L63" s="44" t="n">
        <f>IFERROR(0+('示例公司附注底稿'!L23),"待填")</f>
        <v>0</v>
      </c>
      <c r="M63" s="44" t="n">
        <f>IFERROR(0+('示例公司附注底稿'!M23),"待填")</f>
        <v>0</v>
      </c>
      <c r="N63" s="44" t="n">
        <f>IFERROR(0+('示例公司附注底稿'!N23),"待填")</f>
        <v>0</v>
      </c>
      <c r="O63" s="44" t="n">
        <f>IFERROR(0+('示例公司附注底稿'!O23),"待填")</f>
        <v>0</v>
      </c>
      <c r="P63" s="44" t="n">
        <f>IFERROR(0+('示例公司附注底稿'!P23),"待填")</f>
        <v>0</v>
      </c>
      <c r="Q63" s="44" t="n">
        <f>IFERROR(0+('示例公司附注底稿'!Q23),"待填")</f>
        <v>0</v>
      </c>
      <c r="R63" s="44" t="n">
        <f>IFERROR(0+('示例公司附注底稿'!R23),"待填")</f>
        <v>0</v>
      </c>
      <c r="S63" s="44" t="n">
        <f>IFERROR(0+('示例公司附注底稿'!S23),"待填")</f>
        <v>0</v>
      </c>
    </row>
    <row r="64" ht="18" customHeight="1">
      <c r="A64" s="2"/>
      <c r="B64" s="46" t="str"/>
      <c r="C64" s="69" t="str">
        <v>—其他</v>
      </c>
      <c r="D64" s="44" t="n">
        <f>IFERROR(0+('示例公司附注底稿'!D24),"待填")</f>
        <v>0</v>
      </c>
      <c r="E64" s="44" t="n">
        <f>IFERROR(0+('示例公司附注底稿'!E24),"待填")</f>
        <v>0</v>
      </c>
      <c r="F64" s="44" t="n">
        <f>IFERROR(0+('示例公司附注底稿'!F24),"待填")</f>
        <v>0</v>
      </c>
      <c r="G64" s="44" t="n">
        <f>IFERROR(0+('示例公司附注底稿'!G24),"待填")</f>
        <v>0</v>
      </c>
      <c r="H64" s="44" t="n">
        <f>IFERROR(0+('示例公司附注底稿'!H24),"待填")</f>
        <v>0</v>
      </c>
      <c r="I64" s="44" t="n">
        <f>IFERROR(0+('示例公司附注底稿'!I24),"待填")</f>
        <v>0</v>
      </c>
      <c r="J64" s="44" t="n">
        <f>IFERROR(0+('示例公司附注底稿'!J24),"待填")</f>
        <v>0</v>
      </c>
      <c r="K64" s="44" t="n">
        <f>IFERROR(0+('示例公司附注底稿'!K24),"待填")</f>
        <v>0</v>
      </c>
      <c r="L64" s="44" t="n">
        <f>IFERROR(0+('示例公司附注底稿'!L24),"待填")</f>
        <v>0</v>
      </c>
      <c r="M64" s="44" t="n">
        <f>IFERROR(0+('示例公司附注底稿'!M24),"待填")</f>
        <v>0</v>
      </c>
      <c r="N64" s="44" t="n">
        <f>IFERROR(0+('示例公司附注底稿'!N24),"待填")</f>
        <v>0</v>
      </c>
      <c r="O64" s="44" t="n">
        <f>IFERROR(0+('示例公司附注底稿'!O24),"待填")</f>
        <v>0</v>
      </c>
      <c r="P64" s="44" t="n">
        <f>IFERROR(0+('示例公司附注底稿'!P24),"待填")</f>
        <v>0</v>
      </c>
      <c r="Q64" s="44" t="n">
        <f>IFERROR(0+('示例公司附注底稿'!Q24),"待填")</f>
        <v>0</v>
      </c>
      <c r="R64" s="44" t="n">
        <f>IFERROR(0+('示例公司附注底稿'!R24),"待填")</f>
        <v>0</v>
      </c>
      <c r="S64" s="44" t="n">
        <f>IFERROR(0+('示例公司附注底稿'!S24),"待填")</f>
        <v>0</v>
      </c>
    </row>
    <row r="65" ht="18" customHeight="1">
      <c r="A65" s="2"/>
      <c r="B65" s="46" t="str"/>
      <c r="C65" s="69" t="str">
        <v>—税金[注]</v>
      </c>
      <c r="D65" s="44" t="n">
        <f>IFERROR(0+('示例公司附注底稿'!D26),"待填")</f>
        <v>0</v>
      </c>
      <c r="E65" s="44" t="n">
        <f>IFERROR(0+('示例公司附注底稿'!E26),"待填")</f>
        <v>0</v>
      </c>
      <c r="F65" s="44" t="n">
        <f>IFERROR(0+('示例公司附注底稿'!F26),"待填")</f>
        <v>0</v>
      </c>
      <c r="G65" s="44" t="n">
        <f>IFERROR(0+('示例公司附注底稿'!G26),"待填")</f>
        <v>0</v>
      </c>
      <c r="H65" s="44" t="n">
        <f>IFERROR(0+('示例公司附注底稿'!H26),"待填")</f>
        <v>0</v>
      </c>
      <c r="I65" s="44" t="n">
        <f>IFERROR(0+('示例公司附注底稿'!I26),"待填")</f>
        <v>0</v>
      </c>
      <c r="J65" s="44" t="n">
        <f>IFERROR(0+('示例公司附注底稿'!J26),"待填")</f>
        <v>0</v>
      </c>
      <c r="K65" s="44" t="n">
        <f>IFERROR(0+('示例公司附注底稿'!K26),"待填")</f>
        <v>0</v>
      </c>
      <c r="L65" s="44" t="n">
        <f>IFERROR(0+('示例公司附注底稿'!L26),"待填")</f>
        <v>0</v>
      </c>
      <c r="M65" s="44" t="n">
        <f>IFERROR(0+('示例公司附注底稿'!M26),"待填")</f>
        <v>0</v>
      </c>
      <c r="N65" s="44" t="n">
        <f>IFERROR(0+('示例公司附注底稿'!N26),"待填")</f>
        <v>0</v>
      </c>
      <c r="O65" s="44" t="n">
        <f>IFERROR(0+('示例公司附注底稿'!O26),"待填")</f>
        <v>0</v>
      </c>
      <c r="P65" s="44" t="n">
        <f>IFERROR(0+('示例公司附注底稿'!P26),"待填")</f>
        <v>0</v>
      </c>
      <c r="Q65" s="44" t="n">
        <f>IFERROR(0+('示例公司附注底稿'!Q26),"待填")</f>
        <v>0</v>
      </c>
      <c r="R65" s="44" t="n">
        <f>IFERROR(0+('示例公司附注底稿'!R26),"待填")</f>
        <v>0</v>
      </c>
      <c r="S65" s="44" t="n">
        <f>IFERROR(0+('示例公司附注底稿'!S26),"待填")</f>
        <v>0</v>
      </c>
    </row>
    <row r="66" ht="18" customHeight="1">
      <c r="A66" s="2"/>
      <c r="B66" s="46" t="str"/>
      <c r="C66" s="69" t="str">
        <v>—税费[注]</v>
      </c>
      <c r="D66" s="44" t="n">
        <f>IFERROR(0+('示例公司附注底稿'!D27),"待填")</f>
        <v>0</v>
      </c>
      <c r="E66" s="44" t="n">
        <f>IFERROR(0+('示例公司附注底稿'!E27),"待填")</f>
        <v>0</v>
      </c>
      <c r="F66" s="44" t="n">
        <f>IFERROR(0+('示例公司附注底稿'!F27),"待填")</f>
        <v>0</v>
      </c>
      <c r="G66" s="44" t="n">
        <f>IFERROR(0+('示例公司附注底稿'!G27),"待填")</f>
        <v>0</v>
      </c>
      <c r="H66" s="44" t="n">
        <f>IFERROR(0+('示例公司附注底稿'!H27),"待填")</f>
        <v>0</v>
      </c>
      <c r="I66" s="44" t="n">
        <f>IFERROR(0+('示例公司附注底稿'!I27),"待填")</f>
        <v>0</v>
      </c>
      <c r="J66" s="44" t="n">
        <f>IFERROR(0+('示例公司附注底稿'!J27),"待填")</f>
        <v>0</v>
      </c>
      <c r="K66" s="44" t="n">
        <f>IFERROR(0+('示例公司附注底稿'!K27),"待填")</f>
        <v>0</v>
      </c>
      <c r="L66" s="44" t="n">
        <f>IFERROR(0+('示例公司附注底稿'!L27),"待填")</f>
        <v>0</v>
      </c>
      <c r="M66" s="44" t="n">
        <f>IFERROR(0+('示例公司附注底稿'!M27),"待填")</f>
        <v>0</v>
      </c>
      <c r="N66" s="44" t="n">
        <f>IFERROR(0+('示例公司附注底稿'!N27),"待填")</f>
        <v>0</v>
      </c>
      <c r="O66" s="44" t="n">
        <f>IFERROR(0+('示例公司附注底稿'!O27),"待填")</f>
        <v>0</v>
      </c>
      <c r="P66" s="44" t="n">
        <f>IFERROR(0+('示例公司附注底稿'!P27),"待填")</f>
        <v>0</v>
      </c>
      <c r="Q66" s="44" t="n">
        <f>IFERROR(0+('示例公司附注底稿'!Q27),"待填")</f>
        <v>0</v>
      </c>
      <c r="R66" s="44" t="n">
        <f>IFERROR(0+('示例公司附注底稿'!R27),"待填")</f>
        <v>0</v>
      </c>
      <c r="S66" s="44" t="n">
        <f>IFERROR(0+('示例公司附注底稿'!S27),"待填")</f>
        <v>0</v>
      </c>
    </row>
    <row r="67" ht="18" customHeight="1">
      <c r="A67" s="2"/>
      <c r="B67" s="46" t="str"/>
      <c r="C67" s="69" t="str">
        <v>—中介机构费</v>
      </c>
      <c r="D67" s="44" t="n">
        <f>IFERROR(0+('示例公司附注底稿'!D29),"待填")</f>
        <v>0</v>
      </c>
      <c r="E67" s="44" t="n">
        <f>IFERROR(0+('示例公司附注底稿'!E29),"待填")</f>
        <v>0</v>
      </c>
      <c r="F67" s="44" t="n">
        <f>IFERROR(0+('示例公司附注底稿'!F29),"待填")</f>
        <v>0</v>
      </c>
      <c r="G67" s="44" t="n">
        <f>IFERROR(0+('示例公司附注底稿'!G29),"待填")</f>
        <v>0</v>
      </c>
      <c r="H67" s="44" t="n">
        <f>IFERROR(0+('示例公司附注底稿'!H29),"待填")</f>
        <v>0</v>
      </c>
      <c r="I67" s="44" t="n">
        <f>IFERROR(0+('示例公司附注底稿'!I29),"待填")</f>
        <v>0</v>
      </c>
      <c r="J67" s="44" t="n">
        <f>IFERROR(0+('示例公司附注底稿'!J29),"待填")</f>
        <v>0</v>
      </c>
      <c r="K67" s="44" t="n">
        <f>IFERROR(0+('示例公司附注底稿'!K29),"待填")</f>
        <v>0</v>
      </c>
      <c r="L67" s="44" t="n">
        <f>IFERROR(0+('示例公司附注底稿'!L29),"待填")</f>
        <v>0</v>
      </c>
      <c r="M67" s="44" t="n">
        <f>IFERROR(0+('示例公司附注底稿'!M29),"待填")</f>
        <v>0</v>
      </c>
      <c r="N67" s="44" t="n">
        <f>IFERROR(0+('示例公司附注底稿'!N29),"待填")</f>
        <v>0</v>
      </c>
      <c r="O67" s="44" t="n">
        <f>IFERROR(0+('示例公司附注底稿'!O29),"待填")</f>
        <v>0</v>
      </c>
      <c r="P67" s="44" t="n">
        <f>IFERROR(0+('示例公司附注底稿'!P29),"待填")</f>
        <v>0</v>
      </c>
      <c r="Q67" s="44" t="n">
        <f>IFERROR(0+('示例公司附注底稿'!Q29),"待填")</f>
        <v>0</v>
      </c>
      <c r="R67" s="44" t="n">
        <f>IFERROR(0+('示例公司附注底稿'!R29),"待填")</f>
        <v>0</v>
      </c>
      <c r="S67" s="44" t="n">
        <f>IFERROR(0+('示例公司附注底稿'!S29),"待填")</f>
        <v>0</v>
      </c>
    </row>
    <row r="68" ht="18" customHeight="1">
      <c r="A68" s="2"/>
      <c r="B68" s="46" t="str">
        <v>研发费用附注</v>
      </c>
      <c r="C68" s="70" t="str">
        <v>研发相关费用</v>
      </c>
      <c r="D68" s="48" t="n">
        <f>IFERROR(0+('示例公司附注底稿'!D32+'示例公司附注底稿'!D34),"待填")</f>
        <v>0</v>
      </c>
      <c r="E68" s="48" t="n">
        <f>IFERROR(0+('示例公司附注底稿'!E32+'示例公司附注底稿'!E34),"待填")</f>
        <v>0</v>
      </c>
      <c r="F68" s="48" t="n">
        <f>IFERROR(0+('示例公司附注底稿'!F32+'示例公司附注底稿'!F34),"待填")</f>
        <v>0</v>
      </c>
      <c r="G68" s="48" t="n">
        <f>IFERROR(0+('示例公司附注底稿'!G32+'示例公司附注底稿'!G34),"待填")</f>
        <v>0</v>
      </c>
      <c r="H68" s="48" t="n">
        <f>IFERROR(0+('示例公司附注底稿'!H32+'示例公司附注底稿'!H34),"待填")</f>
        <v>0</v>
      </c>
      <c r="I68" s="48" t="n">
        <f>IFERROR(0+('示例公司附注底稿'!I32+'示例公司附注底稿'!I34),"待填")</f>
        <v>0</v>
      </c>
      <c r="J68" s="48" t="n">
        <f>IFERROR(0+('示例公司附注底稿'!J32+'示例公司附注底稿'!J34),"待填")</f>
        <v>0</v>
      </c>
      <c r="K68" s="48" t="n">
        <f>IFERROR(0+('示例公司附注底稿'!K32+'示例公司附注底稿'!K34),"待填")</f>
        <v>0</v>
      </c>
      <c r="L68" s="48" t="n">
        <f>IFERROR(0+('示例公司附注底稿'!L32+'示例公司附注底稿'!L34),"待填")</f>
        <v>0</v>
      </c>
      <c r="M68" s="48" t="n">
        <f>IFERROR(0+('示例公司附注底稿'!M32+'示例公司附注底稿'!M34),"待填")</f>
        <v>0</v>
      </c>
      <c r="N68" s="48" t="n">
        <f>IFERROR(0+('示例公司附注底稿'!N32+'示例公司附注底稿'!N34),"待填")</f>
        <v>0</v>
      </c>
      <c r="O68" s="48" t="n">
        <f>IFERROR(0+('示例公司附注底稿'!O32+'示例公司附注底稿'!O34),"待填")</f>
        <v>0</v>
      </c>
      <c r="P68" s="48" t="n">
        <f>IFERROR(0+('示例公司附注底稿'!P32+'示例公司附注底稿'!P34),"待填")</f>
        <v>0</v>
      </c>
      <c r="Q68" s="48" t="n">
        <f>IFERROR(0+('示例公司附注底稿'!Q32+'示例公司附注底稿'!Q34),"待填")</f>
        <v>0</v>
      </c>
      <c r="R68" s="48" t="n">
        <f>IFERROR(0+('示例公司附注底稿'!R32+'示例公司附注底稿'!R34),"待填")</f>
        <v>0</v>
      </c>
      <c r="S68" s="48" t="n">
        <f>IFERROR(0+('示例公司附注底稿'!S32+'示例公司附注底稿'!S34),"待填")</f>
        <v>0</v>
      </c>
    </row>
    <row r="69" ht="18" customHeight="1">
      <c r="A69" s="2"/>
      <c r="B69" s="46" t="str"/>
      <c r="C69" s="69" t="str">
        <v>—直接投入</v>
      </c>
      <c r="D69" s="44" t="n">
        <f>IFERROR(0+('示例公司附注底稿'!D32),"待填")</f>
        <v>0</v>
      </c>
      <c r="E69" s="44" t="n">
        <f>IFERROR(0+('示例公司附注底稿'!E32),"待填")</f>
        <v>0</v>
      </c>
      <c r="F69" s="44" t="n">
        <f>IFERROR(0+('示例公司附注底稿'!F32),"待填")</f>
        <v>0</v>
      </c>
      <c r="G69" s="44" t="n">
        <f>IFERROR(0+('示例公司附注底稿'!G32),"待填")</f>
        <v>0</v>
      </c>
      <c r="H69" s="44" t="n">
        <f>IFERROR(0+('示例公司附注底稿'!H32),"待填")</f>
        <v>0</v>
      </c>
      <c r="I69" s="44" t="n">
        <f>IFERROR(0+('示例公司附注底稿'!I32),"待填")</f>
        <v>0</v>
      </c>
      <c r="J69" s="44" t="n">
        <f>IFERROR(0+('示例公司附注底稿'!J32),"待填")</f>
        <v>0</v>
      </c>
      <c r="K69" s="44" t="n">
        <f>IFERROR(0+('示例公司附注底稿'!K32),"待填")</f>
        <v>0</v>
      </c>
      <c r="L69" s="44" t="n">
        <f>IFERROR(0+('示例公司附注底稿'!L32),"待填")</f>
        <v>0</v>
      </c>
      <c r="M69" s="44" t="n">
        <f>IFERROR(0+('示例公司附注底稿'!M32),"待填")</f>
        <v>0</v>
      </c>
      <c r="N69" s="44" t="n">
        <f>IFERROR(0+('示例公司附注底稿'!N32),"待填")</f>
        <v>0</v>
      </c>
      <c r="O69" s="44" t="n">
        <f>IFERROR(0+('示例公司附注底稿'!O32),"待填")</f>
        <v>0</v>
      </c>
      <c r="P69" s="44" t="n">
        <f>IFERROR(0+('示例公司附注底稿'!P32),"待填")</f>
        <v>0</v>
      </c>
      <c r="Q69" s="44" t="n">
        <f>IFERROR(0+('示例公司附注底稿'!Q32),"待填")</f>
        <v>0</v>
      </c>
      <c r="R69" s="44" t="n">
        <f>IFERROR(0+('示例公司附注底稿'!R32),"待填")</f>
        <v>0</v>
      </c>
      <c r="S69" s="44" t="n">
        <f>IFERROR(0+('示例公司附注底稿'!S32),"待填")</f>
        <v>0</v>
      </c>
    </row>
    <row r="70" ht="18" customHeight="1">
      <c r="A70" s="2"/>
      <c r="B70" s="46" t="str"/>
      <c r="C70" s="69" t="str">
        <v>—其他</v>
      </c>
      <c r="D70" s="44" t="n">
        <f>IFERROR(0+('示例公司附注底稿'!D34),"待填")</f>
        <v>0</v>
      </c>
      <c r="E70" s="44" t="n">
        <f>IFERROR(0+('示例公司附注底稿'!E34),"待填")</f>
        <v>0</v>
      </c>
      <c r="F70" s="44" t="n">
        <f>IFERROR(0+('示例公司附注底稿'!F34),"待填")</f>
        <v>0</v>
      </c>
      <c r="G70" s="44" t="n">
        <f>IFERROR(0+('示例公司附注底稿'!G34),"待填")</f>
        <v>0</v>
      </c>
      <c r="H70" s="44" t="n">
        <f>IFERROR(0+('示例公司附注底稿'!H34),"待填")</f>
        <v>0</v>
      </c>
      <c r="I70" s="44" t="n">
        <f>IFERROR(0+('示例公司附注底稿'!I34),"待填")</f>
        <v>0</v>
      </c>
      <c r="J70" s="44" t="n">
        <f>IFERROR(0+('示例公司附注底稿'!J34),"待填")</f>
        <v>0</v>
      </c>
      <c r="K70" s="44" t="n">
        <f>IFERROR(0+('示例公司附注底稿'!K34),"待填")</f>
        <v>0</v>
      </c>
      <c r="L70" s="44" t="n">
        <f>IFERROR(0+('示例公司附注底稿'!L34),"待填")</f>
        <v>0</v>
      </c>
      <c r="M70" s="44" t="n">
        <f>IFERROR(0+('示例公司附注底稿'!M34),"待填")</f>
        <v>0</v>
      </c>
      <c r="N70" s="44" t="n">
        <f>IFERROR(0+('示例公司附注底稿'!N34),"待填")</f>
        <v>0</v>
      </c>
      <c r="O70" s="44" t="n">
        <f>IFERROR(0+('示例公司附注底稿'!O34),"待填")</f>
        <v>0</v>
      </c>
      <c r="P70" s="44" t="n">
        <f>IFERROR(0+('示例公司附注底稿'!P34),"待填")</f>
        <v>0</v>
      </c>
      <c r="Q70" s="44" t="n">
        <f>IFERROR(0+('示例公司附注底稿'!Q34),"待填")</f>
        <v>0</v>
      </c>
      <c r="R70" s="44" t="n">
        <f>IFERROR(0+('示例公司附注底稿'!R34),"待填")</f>
        <v>0</v>
      </c>
      <c r="S70" s="44" t="n">
        <f>IFERROR(0+('示例公司附注底稿'!S34),"待填")</f>
        <v>0</v>
      </c>
    </row>
    <row r="71" ht="18" customHeight="1">
      <c r="A71" s="2"/>
      <c r="B71" s="46" t="str"/>
      <c r="C71" s="70" t="str">
        <v>制造费用中除人工、折旧、摊销以外的费用（例如水电等）</v>
      </c>
      <c r="D71" s="48" t="n">
        <f>IFERROR(0+(D39*D170),"待填")</f>
        <v>0</v>
      </c>
      <c r="E71" s="48" t="n">
        <f>IFERROR(0+(E39*E170),"待填")</f>
        <v>0</v>
      </c>
      <c r="F71" s="48" t="n">
        <f>IFERROR(0+(F39*F170),"待填")</f>
        <v>0</v>
      </c>
      <c r="G71" s="48" t="n">
        <f>IFERROR(0+(G39*G170),"待填")</f>
        <v>0</v>
      </c>
      <c r="H71" s="48" t="n">
        <f>IFERROR(0+(H39*H170),"待填")</f>
        <v>0</v>
      </c>
      <c r="I71" s="48" t="n">
        <f>IFERROR(0+(I39*I170),"待填")</f>
        <v>0</v>
      </c>
      <c r="J71" s="48" t="n">
        <f>IFERROR(0+(J39*J170),"待填")</f>
        <v>0</v>
      </c>
      <c r="K71" s="48" t="n">
        <f>IFERROR(0+(K39*K170),"待填")</f>
        <v>0</v>
      </c>
      <c r="L71" s="48" t="n">
        <f>IFERROR(0+(L39*L170),"待填")</f>
        <v>0</v>
      </c>
      <c r="M71" s="48" t="n">
        <f>IFERROR(0+(M39*M170),"待填")</f>
        <v>0</v>
      </c>
      <c r="N71" s="48" t="n">
        <f>IFERROR(0+(N39*N170),"待填")</f>
        <v>0</v>
      </c>
      <c r="O71" s="48" t="n">
        <f>IFERROR(0+(O39*O170),"待填")</f>
        <v>0</v>
      </c>
      <c r="P71" s="48" t="n">
        <f>IFERROR(0+(P39*P170),"待填")</f>
        <v>0</v>
      </c>
      <c r="Q71" s="48" t="n">
        <f>IFERROR(0+(Q39*Q170),"待填")</f>
        <v>0</v>
      </c>
      <c r="R71" s="48" t="n">
        <f>IFERROR(0+(R39*R170),"待填")</f>
        <v>0</v>
      </c>
      <c r="S71" s="48" t="n">
        <f>IFERROR(0+(S39*S170),"待填")</f>
        <v>0</v>
      </c>
    </row>
    <row r="72" ht="36" customHeight="1">
      <c r="A72" s="2"/>
      <c r="B72" s="46" t="str">
        <v>支付给职工现金 + 应付薪酬变动 + 销管研股份支付</v>
      </c>
      <c r="C72" s="68" t="str">
        <v>员工薪酬</v>
      </c>
      <c r="D72" s="63" t="n">
        <f>IFERROR(0+(('示例公司三表'!D115+'示例公司三表'!D177)/100-D169+D78+D83+D88),"待填")</f>
        <v>0</v>
      </c>
      <c r="E72" s="63" t="n">
        <f>IFERROR(0+(('示例公司三表'!E115+'示例公司三表'!E177)/100-E169+E78+E83+E88),"待填")</f>
        <v>0</v>
      </c>
      <c r="F72" s="63" t="n">
        <f>IFERROR(0+(('示例公司三表'!F115+'示例公司三表'!F177)/100-F169+F78+F83+F88),"待填")</f>
        <v>0</v>
      </c>
      <c r="G72" s="63" t="n">
        <f>IFERROR(0+(('示例公司三表'!G115+'示例公司三表'!G177)/100-G169+G78+G83+G88),"待填")</f>
        <v>0</v>
      </c>
      <c r="H72" s="63" t="n">
        <f>IFERROR(0+(('示例公司三表'!H115+'示例公司三表'!H177)/100-H169+H78+H83+H88),"待填")</f>
        <v>0</v>
      </c>
      <c r="I72" s="63" t="n">
        <f>IFERROR(0+(('示例公司三表'!I115+'示例公司三表'!I177)/100-I169+I78+I83+I88),"待填")</f>
        <v>0</v>
      </c>
      <c r="J72" s="63" t="n">
        <f>IFERROR(0+(('示例公司三表'!J115+'示例公司三表'!J177)/100-J169+J78+J83+J88),"待填")</f>
        <v>0</v>
      </c>
      <c r="K72" s="63" t="n">
        <f>IFERROR(0+(('示例公司三表'!K115+'示例公司三表'!K177)/100-K169+K78+K83+K88),"待填")</f>
        <v>0</v>
      </c>
      <c r="L72" s="63" t="n">
        <f>IFERROR(0+(('示例公司三表'!L115+'示例公司三表'!L177)/100-L169+L78+L83+L88),"待填")</f>
        <v>0</v>
      </c>
      <c r="M72" s="63" t="n">
        <f>IFERROR(0+(('示例公司三表'!M115+'示例公司三表'!M177)/100-M169+M78+M83+M88),"待填")</f>
        <v>0</v>
      </c>
      <c r="N72" s="63" t="n">
        <f>IFERROR(0+(('示例公司三表'!N115+'示例公司三表'!N177)/100-N169+N78+N83+N88),"待填")</f>
        <v>0</v>
      </c>
      <c r="O72" s="63" t="n">
        <f>IFERROR(0+(('示例公司三表'!O115+'示例公司三表'!O177)/100-O169+O78+O83+O88),"待填")</f>
        <v>0</v>
      </c>
      <c r="P72" s="63" t="n">
        <f>IFERROR(0+(('示例公司三表'!P115+'示例公司三表'!P177)/100-P169+P78+P83+P88),"待填")</f>
        <v>0</v>
      </c>
      <c r="Q72" s="63" t="n">
        <f>IFERROR(0+(('示例公司三表'!Q115+'示例公司三表'!Q177)/100-Q169+Q78+Q83+Q88),"待填")</f>
        <v>0</v>
      </c>
      <c r="R72" s="63" t="n">
        <f>IFERROR(0+(('示例公司三表'!R115+'示例公司三表'!R177)/100-R169+R78+R83+R88),"待填")</f>
        <v>0</v>
      </c>
      <c r="S72" s="63" t="n">
        <f>IFERROR(0+(('示例公司三表'!S115+'示例公司三表'!S177)/100-S169+S78+S83+S88),"待填")</f>
        <v>0</v>
      </c>
    </row>
    <row r="73" ht="36" customHeight="1">
      <c r="A73" s="2" t="str">
        <v>固定成本</v>
      </c>
      <c r="B73" s="46" t="str">
        <v>员工薪酬 − 销售 − 管理 − 研发人员薪酬</v>
      </c>
      <c r="C73" s="70" t="str">
        <v>制造工人薪酬（营业成本中的直接人工+制造费用中的人工）</v>
      </c>
      <c r="D73" s="48" t="n">
        <f>IFERROR(0+(D72-(D77+D78+D82+D83+D87+D88)),"待填")</f>
        <v>0</v>
      </c>
      <c r="E73" s="48" t="n">
        <f>IFERROR(0+(E72-(E77+E78+E82+E83+E87+E88)),"待填")</f>
        <v>0</v>
      </c>
      <c r="F73" s="48" t="n">
        <f>IFERROR(0+(F72-(F77+F78+F82+F83+F87+F88)),"待填")</f>
        <v>0</v>
      </c>
      <c r="G73" s="48" t="n">
        <f>IFERROR(0+(G72-(G77+G78+G82+G83+G87+G88)),"待填")</f>
        <v>0</v>
      </c>
      <c r="H73" s="48" t="n">
        <f>IFERROR(0+(H72-(H77+H78+H82+H83+H87+H88)),"待填")</f>
        <v>0</v>
      </c>
      <c r="I73" s="48" t="n">
        <f>IFERROR(0+(I72-(I77+I78+I82+I83+I87+I88)),"待填")</f>
        <v>0</v>
      </c>
      <c r="J73" s="48" t="n">
        <f>IFERROR(0+(J72-(J77+J78+J82+J83+J87+J88)),"待填")</f>
        <v>0</v>
      </c>
      <c r="K73" s="48" t="n">
        <f>IFERROR(0+(K72-(K77+K78+K82+K83+K87+K88)),"待填")</f>
        <v>0</v>
      </c>
      <c r="L73" s="48" t="n">
        <f>IFERROR(0+(L72-(L77+L78+L82+L83+L87+L88)),"待填")</f>
        <v>0</v>
      </c>
      <c r="M73" s="48" t="n">
        <f>IFERROR(0+(M72-(M77+M78+M82+M83+M87+M88)),"待填")</f>
        <v>0</v>
      </c>
      <c r="N73" s="48" t="n">
        <f>IFERROR(0+(N72-(N77+N78+N82+N83+N87+N88)),"待填")</f>
        <v>0</v>
      </c>
      <c r="O73" s="48" t="n">
        <f>IFERROR(0+(O72-(O77+O78+O82+O83+O87+O88)),"待填")</f>
        <v>0</v>
      </c>
      <c r="P73" s="48" t="n">
        <f>IFERROR(0+(P72-(P77+P78+P82+P83+P87+P88)),"待填")</f>
        <v>0</v>
      </c>
      <c r="Q73" s="48" t="n">
        <f>IFERROR(0+(Q72-(Q77+Q78+Q82+Q83+Q87+Q88)),"待填")</f>
        <v>0</v>
      </c>
      <c r="R73" s="48" t="n">
        <f>IFERROR(0+(R72-(R77+R78+R82+R83+R87+R88)),"待填")</f>
        <v>0</v>
      </c>
      <c r="S73" s="48" t="n">
        <f>IFERROR(0+(S72-(S77+S78+S82+S83+S87+S88)),"待填")</f>
        <v>0</v>
      </c>
    </row>
    <row r="74" ht="18" customHeight="1">
      <c r="A74" s="2"/>
      <c r="B74" s="46" t="str"/>
      <c r="C74" s="69" t="str">
        <v>制造工人数量</v>
      </c>
      <c r="D74" s="71" t="n">
        <f>IFERROR(0+('示例公司附注底稿'!D39+'示例公司附注底稿'!D44),"待填")</f>
        <v>0</v>
      </c>
      <c r="E74" s="71" t="n">
        <f>IFERROR(0+('示例公司附注底稿'!E39+'示例公司附注底稿'!E44),"待填")</f>
        <v>0</v>
      </c>
      <c r="F74" s="71" t="n">
        <f>IFERROR(0+('示例公司附注底稿'!F39+'示例公司附注底稿'!F44),"待填")</f>
        <v>0</v>
      </c>
      <c r="G74" s="71" t="n">
        <f>IFERROR(0+('示例公司附注底稿'!G39+'示例公司附注底稿'!G44),"待填")</f>
        <v>0</v>
      </c>
      <c r="H74" s="71" t="n">
        <f>IFERROR(0+('示例公司附注底稿'!H39+'示例公司附注底稿'!H44),"待填")</f>
        <v>0</v>
      </c>
      <c r="I74" s="71" t="n">
        <f>IFERROR(0+('示例公司附注底稿'!I39+0),"待填")</f>
        <v>0</v>
      </c>
      <c r="J74" s="71" t="n">
        <f>IFERROR(0+('示例公司附注底稿'!J39+0),"待填")</f>
        <v>0</v>
      </c>
      <c r="K74" s="71" t="n">
        <f>IFERROR(0+('示例公司附注底稿'!K39+0),"待填")</f>
        <v>0</v>
      </c>
      <c r="L74" s="71" t="n">
        <f>IFERROR(0+('示例公司附注底稿'!L39+0),"待填")</f>
        <v>0</v>
      </c>
      <c r="M74" s="71" t="n">
        <f>IFERROR(0+('示例公司附注底稿'!M39+0),"待填")</f>
        <v>0</v>
      </c>
      <c r="N74" s="71" t="n">
        <f>IFERROR(0+('示例公司附注底稿'!N39+0),"待填")</f>
        <v>0</v>
      </c>
      <c r="O74" s="71" t="n">
        <f>IFERROR(0+('示例公司附注底稿'!O39+0),"待填")</f>
        <v>0</v>
      </c>
      <c r="P74" s="71" t="n">
        <f>IFERROR(0+('示例公司附注底稿'!P39+0),"待填")</f>
        <v>0</v>
      </c>
      <c r="Q74" s="71" t="n">
        <f>IFERROR(0+('示例公司附注底稿'!Q39+0),"待填")</f>
        <v>0</v>
      </c>
      <c r="R74" s="71" t="n">
        <f>IFERROR(0+('示例公司附注底稿'!R39+0),"待填")</f>
        <v>0</v>
      </c>
      <c r="S74" s="71" t="n">
        <f>IFERROR(0+('示例公司附注底稿'!S39+0),"待填")</f>
        <v>0</v>
      </c>
    </row>
    <row r="75" ht="18" customHeight="1">
      <c r="A75" s="2"/>
      <c r="B75" s="46" t="str"/>
      <c r="C75" s="69" t="str">
        <v>—制造人员工资（万元/年）</v>
      </c>
      <c r="D75" s="72" t="str">
        <f>IFERROR(0+(IF(ISNUMBER(D74),IF(D74=0,"n.a.",(D73)*10000/D74),"n.a.")),"待填")</f>
        <v>待填</v>
      </c>
      <c r="E75" s="72" t="str">
        <f>IFERROR(0+(IF(ISNUMBER(E74),IF(E74=0,"n.a.",(E73)*10000/E74),"n.a.")),"待填")</f>
        <v>待填</v>
      </c>
      <c r="F75" s="72" t="str">
        <f>IFERROR(0+(IF(ISNUMBER(F74),IF(F74=0,"n.a.",(F73)*10000/F74),"n.a.")),"待填")</f>
        <v>待填</v>
      </c>
      <c r="G75" s="72" t="str">
        <f>IFERROR(0+(IF(ISNUMBER(G74),IF(G74=0,"n.a.",(G73)*10000/G74),"n.a.")),"待填")</f>
        <v>待填</v>
      </c>
      <c r="H75" s="72" t="str">
        <f>IFERROR(0+(IF(ISNUMBER(H74),IF(H74=0,"n.a.",(H73)*10000/H74),"n.a.")),"待填")</f>
        <v>待填</v>
      </c>
      <c r="I75" s="72" t="str">
        <f>IFERROR(0+(IF(ISNUMBER(I74),IF(I74=0,"n.a.",(I73)*10000/I74),"n.a.")),"待填")</f>
        <v>待填</v>
      </c>
      <c r="J75" s="72" t="str">
        <f>IFERROR(0+(IF(ISNUMBER(J74),IF(J74=0,"n.a.",(J73)*10000/J74),"n.a.")),"待填")</f>
        <v>待填</v>
      </c>
      <c r="K75" s="72" t="str">
        <f>IFERROR(0+(IF(ISNUMBER(K74),IF(K74=0,"n.a.",(K73)*10000/K74),"n.a.")),"待填")</f>
        <v>待填</v>
      </c>
      <c r="L75" s="72" t="str">
        <f>IFERROR(0+(IF(ISNUMBER(L74),IF(L74=0,"n.a.",(L73)*10000/L74),"n.a.")),"待填")</f>
        <v>待填</v>
      </c>
      <c r="M75" s="72" t="str">
        <f>IFERROR(0+(IF(ISNUMBER(M74),IF(M74=0,"n.a.",(M73)*10000/M74),"n.a.")),"待填")</f>
        <v>待填</v>
      </c>
      <c r="N75" s="72" t="str">
        <f>IFERROR(0+(IF(ISNUMBER(N74),IF(N74=0,"n.a.",(N73)*10000/N74),"n.a.")),"待填")</f>
        <v>待填</v>
      </c>
      <c r="O75" s="72" t="str">
        <f>IFERROR(0+(IF(ISNUMBER(O74),IF(O74=0,"n.a.",(O73)*10000/O74),"n.a.")),"待填")</f>
        <v>待填</v>
      </c>
      <c r="P75" s="72" t="str">
        <f>IFERROR(0+(IF(ISNUMBER(P74),IF(P74=0,"n.a.",(P73)*10000/P74),"n.a.")),"待填")</f>
        <v>待填</v>
      </c>
      <c r="Q75" s="72" t="str">
        <f>IFERROR(0+(IF(ISNUMBER(Q74),IF(Q74=0,"n.a.",(Q73)*10000/Q74),"n.a.")),"待填")</f>
        <v>待填</v>
      </c>
      <c r="R75" s="72" t="str">
        <f>IFERROR(0+(IF(ISNUMBER(R74),IF(R74=0,"n.a.",(R73)*10000/R74),"n.a.")),"待填")</f>
        <v>待填</v>
      </c>
      <c r="S75" s="72" t="str">
        <f>IFERROR(0+(IF(ISNUMBER(S74),IF(S74=0,"n.a.",(S73)*10000/S74),"n.a.")),"待填")</f>
        <v>待填</v>
      </c>
    </row>
    <row r="76" ht="18" customHeight="1">
      <c r="A76" s="2"/>
      <c r="B76" s="46" t="str"/>
      <c r="C76" s="70" t="str">
        <v>销售人员职工薪酬</v>
      </c>
      <c r="D76" s="48" t="n">
        <f>IFERROR(0+(D77+D78),"待填")</f>
        <v>0</v>
      </c>
      <c r="E76" s="48" t="n">
        <f>IFERROR(0+(E77+E78),"待填")</f>
        <v>0</v>
      </c>
      <c r="F76" s="48" t="n">
        <f>IFERROR(0+(F77+F78),"待填")</f>
        <v>0</v>
      </c>
      <c r="G76" s="48" t="n">
        <f>IFERROR(0+(G77+G78),"待填")</f>
        <v>0</v>
      </c>
      <c r="H76" s="48" t="n">
        <f>IFERROR(0+(H77+H78),"待填")</f>
        <v>0</v>
      </c>
      <c r="I76" s="48" t="n">
        <f>IFERROR(0+(I77+I78),"待填")</f>
        <v>0</v>
      </c>
      <c r="J76" s="48" t="n">
        <f>IFERROR(0+(J77+J78),"待填")</f>
        <v>0</v>
      </c>
      <c r="K76" s="48" t="n">
        <f>IFERROR(0+(K77+K78),"待填")</f>
        <v>0</v>
      </c>
      <c r="L76" s="48" t="n">
        <f>IFERROR(0+(L77+L78),"待填")</f>
        <v>0</v>
      </c>
      <c r="M76" s="48" t="n">
        <f>IFERROR(0+(M77+M78),"待填")</f>
        <v>0</v>
      </c>
      <c r="N76" s="48" t="n">
        <f>IFERROR(0+(N77+N78),"待填")</f>
        <v>0</v>
      </c>
      <c r="O76" s="48" t="n">
        <f>IFERROR(0+(O77+O78),"待填")</f>
        <v>0</v>
      </c>
      <c r="P76" s="48" t="n">
        <f>IFERROR(0+(P77+P78),"待填")</f>
        <v>0</v>
      </c>
      <c r="Q76" s="48" t="n">
        <f>IFERROR(0+(Q77+Q78),"待填")</f>
        <v>0</v>
      </c>
      <c r="R76" s="48" t="n">
        <f>IFERROR(0+(R77+R78),"待填")</f>
        <v>0</v>
      </c>
      <c r="S76" s="48" t="n">
        <f>IFERROR(0+(S77+S78),"待填")</f>
        <v>0</v>
      </c>
    </row>
    <row r="77" ht="18" customHeight="1">
      <c r="A77" s="2"/>
      <c r="B77" s="46" t="str"/>
      <c r="C77" s="69" t="str">
        <v>—销售人员职工薪酬</v>
      </c>
      <c r="D77" s="44" t="n">
        <f>IFERROR(0+('示例公司附注底稿'!D7),"待填")</f>
        <v>0</v>
      </c>
      <c r="E77" s="44" t="n">
        <f>IFERROR(0+('示例公司附注底稿'!E7),"待填")</f>
        <v>0</v>
      </c>
      <c r="F77" s="44" t="n">
        <f>IFERROR(0+('示例公司附注底稿'!F7),"待填")</f>
        <v>0</v>
      </c>
      <c r="G77" s="44" t="n">
        <f>IFERROR(0+('示例公司附注底稿'!G7),"待填")</f>
        <v>0</v>
      </c>
      <c r="H77" s="44" t="n">
        <f>IFERROR(0+('示例公司附注底稿'!H7),"待填")</f>
        <v>0</v>
      </c>
      <c r="I77" s="44" t="n">
        <f>IFERROR(0+('示例公司附注底稿'!I7),"待填")</f>
        <v>0</v>
      </c>
      <c r="J77" s="44" t="n">
        <f>IFERROR(0+('示例公司附注底稿'!J7),"待填")</f>
        <v>0</v>
      </c>
      <c r="K77" s="44" t="n">
        <f>IFERROR(0+('示例公司附注底稿'!K7),"待填")</f>
        <v>0</v>
      </c>
      <c r="L77" s="44" t="n">
        <f>IFERROR(0+('示例公司附注底稿'!L7),"待填")</f>
        <v>0</v>
      </c>
      <c r="M77" s="44" t="n">
        <f>IFERROR(0+('示例公司附注底稿'!M7),"待填")</f>
        <v>0</v>
      </c>
      <c r="N77" s="44" t="n">
        <f>IFERROR(0+('示例公司附注底稿'!N7),"待填")</f>
        <v>0</v>
      </c>
      <c r="O77" s="44" t="n">
        <f>IFERROR(0+('示例公司附注底稿'!O7),"待填")</f>
        <v>0</v>
      </c>
      <c r="P77" s="44" t="n">
        <f>IFERROR(0+('示例公司附注底稿'!P7),"待填")</f>
        <v>0</v>
      </c>
      <c r="Q77" s="44" t="n">
        <f>IFERROR(0+('示例公司附注底稿'!Q7),"待填")</f>
        <v>0</v>
      </c>
      <c r="R77" s="44" t="n">
        <f>IFERROR(0+('示例公司附注底稿'!R7),"待填")</f>
        <v>0</v>
      </c>
      <c r="S77" s="44" t="n">
        <f>IFERROR(0+('示例公司附注底稿'!S7),"待填")</f>
        <v>0</v>
      </c>
    </row>
    <row r="78" ht="18" customHeight="1">
      <c r="A78" s="2"/>
      <c r="B78" s="46" t="str"/>
      <c r="C78" s="69" t="str">
        <v>—销售人员股份支付</v>
      </c>
      <c r="D78" s="44" t="n">
        <f>IFERROR(0+('示例公司附注底稿'!D15),"待填")</f>
        <v>0</v>
      </c>
      <c r="E78" s="44" t="n">
        <f>IFERROR(0+('示例公司附注底稿'!E15),"待填")</f>
        <v>0</v>
      </c>
      <c r="F78" s="44" t="n">
        <f>IFERROR(0+('示例公司附注底稿'!F15),"待填")</f>
        <v>0</v>
      </c>
      <c r="G78" s="44" t="n">
        <f>IFERROR(0+('示例公司附注底稿'!G15),"待填")</f>
        <v>0</v>
      </c>
      <c r="H78" s="44" t="n">
        <f>IFERROR(0+('示例公司附注底稿'!H15),"待填")</f>
        <v>0</v>
      </c>
      <c r="I78" s="44" t="n">
        <f>IFERROR(0+('示例公司附注底稿'!I15),"待填")</f>
        <v>0</v>
      </c>
      <c r="J78" s="44" t="n">
        <f>IFERROR(0+('示例公司附注底稿'!J15),"待填")</f>
        <v>0</v>
      </c>
      <c r="K78" s="44" t="n">
        <f>IFERROR(0+('示例公司附注底稿'!K15),"待填")</f>
        <v>0</v>
      </c>
      <c r="L78" s="44" t="n">
        <f>IFERROR(0+('示例公司附注底稿'!L15),"待填")</f>
        <v>0</v>
      </c>
      <c r="M78" s="44" t="n">
        <f>IFERROR(0+('示例公司附注底稿'!M15),"待填")</f>
        <v>0</v>
      </c>
      <c r="N78" s="44" t="n">
        <f>IFERROR(0+('示例公司附注底稿'!N15),"待填")</f>
        <v>0</v>
      </c>
      <c r="O78" s="44" t="n">
        <f>IFERROR(0+('示例公司附注底稿'!O15),"待填")</f>
        <v>0</v>
      </c>
      <c r="P78" s="44" t="n">
        <f>IFERROR(0+('示例公司附注底稿'!P15),"待填")</f>
        <v>0</v>
      </c>
      <c r="Q78" s="44" t="n">
        <f>IFERROR(0+('示例公司附注底稿'!Q15),"待填")</f>
        <v>0</v>
      </c>
      <c r="R78" s="44" t="n">
        <f>IFERROR(0+('示例公司附注底稿'!R15),"待填")</f>
        <v>0</v>
      </c>
      <c r="S78" s="44" t="n">
        <f>IFERROR(0+('示例公司附注底稿'!S15),"待填")</f>
        <v>0</v>
      </c>
    </row>
    <row r="79" ht="18" customHeight="1">
      <c r="A79" s="2"/>
      <c r="B79" s="46" t="str"/>
      <c r="C79" s="69" t="str">
        <v>—销售人员数量</v>
      </c>
      <c r="D79" s="71" t="n">
        <f>IFERROR(0+('示例公司附注底稿'!D40),"待填")</f>
        <v>0</v>
      </c>
      <c r="E79" s="71" t="n">
        <f>IFERROR(0+('示例公司附注底稿'!E40),"待填")</f>
        <v>0</v>
      </c>
      <c r="F79" s="71" t="n">
        <f>IFERROR(0+('示例公司附注底稿'!F40),"待填")</f>
        <v>0</v>
      </c>
      <c r="G79" s="71" t="n">
        <f>IFERROR(0+('示例公司附注底稿'!G40),"待填")</f>
        <v>0</v>
      </c>
      <c r="H79" s="71" t="n">
        <f>IFERROR(0+('示例公司附注底稿'!H40),"待填")</f>
        <v>0</v>
      </c>
      <c r="I79" s="71" t="n">
        <f>IFERROR(0+('示例公司附注底稿'!I40),"待填")</f>
        <v>0</v>
      </c>
      <c r="J79" s="71" t="n">
        <f>IFERROR(0+('示例公司附注底稿'!J40),"待填")</f>
        <v>0</v>
      </c>
      <c r="K79" s="71" t="n">
        <f>IFERROR(0+('示例公司附注底稿'!K40),"待填")</f>
        <v>0</v>
      </c>
      <c r="L79" s="71" t="n">
        <f>IFERROR(0+('示例公司附注底稿'!L40),"待填")</f>
        <v>0</v>
      </c>
      <c r="M79" s="71" t="n">
        <f>IFERROR(0+('示例公司附注底稿'!M40),"待填")</f>
        <v>0</v>
      </c>
      <c r="N79" s="71" t="n">
        <f>IFERROR(0+('示例公司附注底稿'!N40),"待填")</f>
        <v>0</v>
      </c>
      <c r="O79" s="71" t="n">
        <f>IFERROR(0+('示例公司附注底稿'!O40),"待填")</f>
        <v>0</v>
      </c>
      <c r="P79" s="71" t="n">
        <f>IFERROR(0+('示例公司附注底稿'!P40),"待填")</f>
        <v>0</v>
      </c>
      <c r="Q79" s="71" t="n">
        <f>IFERROR(0+('示例公司附注底稿'!Q40),"待填")</f>
        <v>0</v>
      </c>
      <c r="R79" s="71" t="n">
        <f>IFERROR(0+('示例公司附注底稿'!R40),"待填")</f>
        <v>0</v>
      </c>
      <c r="S79" s="71" t="n">
        <f>IFERROR(0+('示例公司附注底稿'!S40),"待填")</f>
        <v>0</v>
      </c>
    </row>
    <row r="80" ht="18" customHeight="1">
      <c r="A80" s="2"/>
      <c r="B80" s="46" t="str"/>
      <c r="C80" s="69" t="str">
        <v>—销售人员工资（万元/年）</v>
      </c>
      <c r="D80" s="72" t="str">
        <f>IFERROR(0+(IF(ISNUMBER(D79),IF(D79=0,"n.a.",(D77+D78)*10000/D79),"n.a.")),"待填")</f>
        <v>待填</v>
      </c>
      <c r="E80" s="72" t="str">
        <f>IFERROR(0+(IF(ISNUMBER(E79),IF(E79=0,"n.a.",(E77+E78)*10000/E79),"n.a.")),"待填")</f>
        <v>待填</v>
      </c>
      <c r="F80" s="72" t="str">
        <f>IFERROR(0+(IF(ISNUMBER(F79),IF(F79=0,"n.a.",(F77+F78)*10000/F79),"n.a.")),"待填")</f>
        <v>待填</v>
      </c>
      <c r="G80" s="72" t="str">
        <f>IFERROR(0+(IF(ISNUMBER(G79),IF(G79=0,"n.a.",(G77+G78)*10000/G79),"n.a.")),"待填")</f>
        <v>待填</v>
      </c>
      <c r="H80" s="72" t="str">
        <f>IFERROR(0+(IF(ISNUMBER(H79),IF(H79=0,"n.a.",(H77+H78)*10000/H79),"n.a.")),"待填")</f>
        <v>待填</v>
      </c>
      <c r="I80" s="72" t="str">
        <f>IFERROR(0+(IF(ISNUMBER(I79),IF(I79=0,"n.a.",(I77+I78)*10000/I79),"n.a.")),"待填")</f>
        <v>待填</v>
      </c>
      <c r="J80" s="72" t="str">
        <f>IFERROR(0+(IF(ISNUMBER(J79),IF(J79=0,"n.a.",(J77+J78)*10000/J79),"n.a.")),"待填")</f>
        <v>待填</v>
      </c>
      <c r="K80" s="72" t="str">
        <f>IFERROR(0+(IF(ISNUMBER(K79),IF(K79=0,"n.a.",(K77+K78)*10000/K79),"n.a.")),"待填")</f>
        <v>待填</v>
      </c>
      <c r="L80" s="72" t="str">
        <f>IFERROR(0+(IF(ISNUMBER(L79),IF(L79=0,"n.a.",(L77+L78)*10000/L79),"n.a.")),"待填")</f>
        <v>待填</v>
      </c>
      <c r="M80" s="72" t="str">
        <f>IFERROR(0+(IF(ISNUMBER(M79),IF(M79=0,"n.a.",(M77+M78)*10000/M79),"n.a.")),"待填")</f>
        <v>待填</v>
      </c>
      <c r="N80" s="72" t="str">
        <f>IFERROR(0+(IF(ISNUMBER(N79),IF(N79=0,"n.a.",(N77+N78)*10000/N79),"n.a.")),"待填")</f>
        <v>待填</v>
      </c>
      <c r="O80" s="72" t="str">
        <f>IFERROR(0+(IF(ISNUMBER(O79),IF(O79=0,"n.a.",(O77+O78)*10000/O79),"n.a.")),"待填")</f>
        <v>待填</v>
      </c>
      <c r="P80" s="72" t="str">
        <f>IFERROR(0+(IF(ISNUMBER(P79),IF(P79=0,"n.a.",(P77+P78)*10000/P79),"n.a.")),"待填")</f>
        <v>待填</v>
      </c>
      <c r="Q80" s="72" t="str">
        <f>IFERROR(0+(IF(ISNUMBER(Q79),IF(Q79=0,"n.a.",(Q77+Q78)*10000/Q79),"n.a.")),"待填")</f>
        <v>待填</v>
      </c>
      <c r="R80" s="72" t="str">
        <f>IFERROR(0+(IF(ISNUMBER(R79),IF(R79=0,"n.a.",(R77+R78)*10000/R79),"n.a.")),"待填")</f>
        <v>待填</v>
      </c>
      <c r="S80" s="72" t="str">
        <f>IFERROR(0+(IF(ISNUMBER(S79),IF(S79=0,"n.a.",(S77+S78)*10000/S79),"n.a.")),"待填")</f>
        <v>待填</v>
      </c>
    </row>
    <row r="81" ht="18" customHeight="1">
      <c r="A81" s="2"/>
      <c r="B81" s="46" t="str"/>
      <c r="C81" s="70" t="str">
        <v>管理人员职工薪酬</v>
      </c>
      <c r="D81" s="48" t="n">
        <f>IFERROR(0+(D82+D83),"待填")</f>
        <v>0</v>
      </c>
      <c r="E81" s="48" t="n">
        <f>IFERROR(0+(E82+E83),"待填")</f>
        <v>0</v>
      </c>
      <c r="F81" s="48" t="n">
        <f>IFERROR(0+(F82+F83),"待填")</f>
        <v>0</v>
      </c>
      <c r="G81" s="48" t="n">
        <f>IFERROR(0+(G82+G83),"待填")</f>
        <v>0</v>
      </c>
      <c r="H81" s="48" t="n">
        <f>IFERROR(0+(H82+H83),"待填")</f>
        <v>0</v>
      </c>
      <c r="I81" s="48" t="n">
        <f>IFERROR(0+(I82+I83),"待填")</f>
        <v>0</v>
      </c>
      <c r="J81" s="48" t="n">
        <f>IFERROR(0+(J82+J83),"待填")</f>
        <v>0</v>
      </c>
      <c r="K81" s="48" t="n">
        <f>IFERROR(0+(K82+K83),"待填")</f>
        <v>0</v>
      </c>
      <c r="L81" s="48" t="n">
        <f>IFERROR(0+(L82+L83),"待填")</f>
        <v>0</v>
      </c>
      <c r="M81" s="48" t="n">
        <f>IFERROR(0+(M82+M83),"待填")</f>
        <v>0</v>
      </c>
      <c r="N81" s="48" t="n">
        <f>IFERROR(0+(N82+N83),"待填")</f>
        <v>0</v>
      </c>
      <c r="O81" s="48" t="n">
        <f>IFERROR(0+(O82+O83),"待填")</f>
        <v>0</v>
      </c>
      <c r="P81" s="48" t="n">
        <f>IFERROR(0+(P82+P83),"待填")</f>
        <v>0</v>
      </c>
      <c r="Q81" s="48" t="n">
        <f>IFERROR(0+(Q82+Q83),"待填")</f>
        <v>0</v>
      </c>
      <c r="R81" s="48" t="n">
        <f>IFERROR(0+(R82+R83),"待填")</f>
        <v>0</v>
      </c>
      <c r="S81" s="48" t="n">
        <f>IFERROR(0+(S82+S83),"待填")</f>
        <v>0</v>
      </c>
    </row>
    <row r="82" ht="18" customHeight="1">
      <c r="A82" s="2"/>
      <c r="B82" s="46" t="str"/>
      <c r="C82" s="69" t="str">
        <v>—管理人员职工薪酬</v>
      </c>
      <c r="D82" s="44" t="n">
        <f>IFERROR(0+('示例公司附注底稿'!D17),"待填")</f>
        <v>0</v>
      </c>
      <c r="E82" s="44" t="n">
        <f>IFERROR(0+('示例公司附注底稿'!E17),"待填")</f>
        <v>0</v>
      </c>
      <c r="F82" s="44" t="n">
        <f>IFERROR(0+('示例公司附注底稿'!F17),"待填")</f>
        <v>0</v>
      </c>
      <c r="G82" s="44" t="n">
        <f>IFERROR(0+('示例公司附注底稿'!G17),"待填")</f>
        <v>0</v>
      </c>
      <c r="H82" s="44" t="n">
        <f>IFERROR(0+('示例公司附注底稿'!H17),"待填")</f>
        <v>0</v>
      </c>
      <c r="I82" s="44" t="n">
        <f>IFERROR(0+('示例公司附注底稿'!I17),"待填")</f>
        <v>0</v>
      </c>
      <c r="J82" s="44" t="n">
        <f>IFERROR(0+('示例公司附注底稿'!J17),"待填")</f>
        <v>0</v>
      </c>
      <c r="K82" s="44" t="n">
        <f>IFERROR(0+('示例公司附注底稿'!K17),"待填")</f>
        <v>0</v>
      </c>
      <c r="L82" s="44" t="n">
        <f>IFERROR(0+('示例公司附注底稿'!L17),"待填")</f>
        <v>0</v>
      </c>
      <c r="M82" s="44" t="n">
        <f>IFERROR(0+('示例公司附注底稿'!M17),"待填")</f>
        <v>0</v>
      </c>
      <c r="N82" s="44" t="n">
        <f>IFERROR(0+('示例公司附注底稿'!N17),"待填")</f>
        <v>0</v>
      </c>
      <c r="O82" s="44" t="n">
        <f>IFERROR(0+('示例公司附注底稿'!O17),"待填")</f>
        <v>0</v>
      </c>
      <c r="P82" s="44" t="n">
        <f>IFERROR(0+('示例公司附注底稿'!P17),"待填")</f>
        <v>0</v>
      </c>
      <c r="Q82" s="44" t="n">
        <f>IFERROR(0+('示例公司附注底稿'!Q17),"待填")</f>
        <v>0</v>
      </c>
      <c r="R82" s="44" t="n">
        <f>IFERROR(0+('示例公司附注底稿'!R17),"待填")</f>
        <v>0</v>
      </c>
      <c r="S82" s="44" t="n">
        <f>IFERROR(0+('示例公司附注底稿'!S17),"待填")</f>
        <v>0</v>
      </c>
    </row>
    <row r="83" ht="18" customHeight="1">
      <c r="A83" s="2"/>
      <c r="B83" s="46" t="str"/>
      <c r="C83" s="69" t="str">
        <v>—管理人员股份支付</v>
      </c>
      <c r="D83" s="44" t="n">
        <f>IFERROR(0+('示例公司附注底稿'!D25),"待填")</f>
        <v>0</v>
      </c>
      <c r="E83" s="44" t="n">
        <f>IFERROR(0+('示例公司附注底稿'!E25),"待填")</f>
        <v>0</v>
      </c>
      <c r="F83" s="44" t="n">
        <f>IFERROR(0+('示例公司附注底稿'!F25),"待填")</f>
        <v>0</v>
      </c>
      <c r="G83" s="44" t="n">
        <f>IFERROR(0+('示例公司附注底稿'!G25),"待填")</f>
        <v>0</v>
      </c>
      <c r="H83" s="44" t="n">
        <f>IFERROR(0+('示例公司附注底稿'!H25),"待填")</f>
        <v>0</v>
      </c>
      <c r="I83" s="44" t="n">
        <f>IFERROR(0+('示例公司附注底稿'!I25),"待填")</f>
        <v>0</v>
      </c>
      <c r="J83" s="44" t="n">
        <f>IFERROR(0+('示例公司附注底稿'!J25),"待填")</f>
        <v>0</v>
      </c>
      <c r="K83" s="44" t="n">
        <f>IFERROR(0+('示例公司附注底稿'!K25),"待填")</f>
        <v>0</v>
      </c>
      <c r="L83" s="44" t="n">
        <f>IFERROR(0+('示例公司附注底稿'!L25),"待填")</f>
        <v>0</v>
      </c>
      <c r="M83" s="44" t="n">
        <f>IFERROR(0+('示例公司附注底稿'!M25),"待填")</f>
        <v>0</v>
      </c>
      <c r="N83" s="44" t="n">
        <f>IFERROR(0+('示例公司附注底稿'!N25),"待填")</f>
        <v>0</v>
      </c>
      <c r="O83" s="44" t="n">
        <f>IFERROR(0+('示例公司附注底稿'!O25),"待填")</f>
        <v>0</v>
      </c>
      <c r="P83" s="44" t="n">
        <f>IFERROR(0+('示例公司附注底稿'!P25),"待填")</f>
        <v>0</v>
      </c>
      <c r="Q83" s="44" t="n">
        <f>IFERROR(0+('示例公司附注底稿'!Q25),"待填")</f>
        <v>0</v>
      </c>
      <c r="R83" s="44" t="n">
        <f>IFERROR(0+('示例公司附注底稿'!R25),"待填")</f>
        <v>0</v>
      </c>
      <c r="S83" s="44" t="n">
        <f>IFERROR(0+('示例公司附注底稿'!S25),"待填")</f>
        <v>0</v>
      </c>
    </row>
    <row r="84" ht="18" customHeight="1">
      <c r="A84" s="2"/>
      <c r="B84" s="46" t="str"/>
      <c r="C84" s="69" t="str">
        <v>—管理人员数量</v>
      </c>
      <c r="D84" s="71" t="n">
        <f>IFERROR(0+(0+'示例公司附注底稿'!D43),"待填")</f>
        <v>0</v>
      </c>
      <c r="E84" s="71" t="n">
        <f>IFERROR(0+(0+'示例公司附注底稿'!E43),"待填")</f>
        <v>0</v>
      </c>
      <c r="F84" s="71" t="n">
        <f>IFERROR(0+(0+'示例公司附注底稿'!F43),"待填")</f>
        <v>0</v>
      </c>
      <c r="G84" s="71" t="n">
        <f>IFERROR(0+(0+'示例公司附注底稿'!G43),"待填")</f>
        <v>0</v>
      </c>
      <c r="H84" s="71" t="n">
        <f>IFERROR(0+(0+'示例公司附注底稿'!H43),"待填")</f>
        <v>0</v>
      </c>
      <c r="I84" s="71" t="n">
        <f>IFERROR(0+('示例公司附注底稿'!I42+'示例公司附注底稿'!I43),"待填")</f>
        <v>0</v>
      </c>
      <c r="J84" s="71" t="n">
        <f>IFERROR(0+('示例公司附注底稿'!J42+'示例公司附注底稿'!J43),"待填")</f>
        <v>0</v>
      </c>
      <c r="K84" s="71" t="n">
        <f>IFERROR(0+('示例公司附注底稿'!K42+'示例公司附注底稿'!K43),"待填")</f>
        <v>0</v>
      </c>
      <c r="L84" s="71" t="n">
        <f>IFERROR(0+('示例公司附注底稿'!L42+'示例公司附注底稿'!L43),"待填")</f>
        <v>0</v>
      </c>
      <c r="M84" s="71" t="n">
        <f>IFERROR(0+('示例公司附注底稿'!M42+'示例公司附注底稿'!M43),"待填")</f>
        <v>0</v>
      </c>
      <c r="N84" s="71" t="n">
        <f>IFERROR(0+('示例公司附注底稿'!N42+'示例公司附注底稿'!N43),"待填")</f>
        <v>0</v>
      </c>
      <c r="O84" s="71" t="n">
        <f>IFERROR(0+('示例公司附注底稿'!O42+'示例公司附注底稿'!O43),"待填")</f>
        <v>0</v>
      </c>
      <c r="P84" s="71" t="n">
        <f>IFERROR(0+('示例公司附注底稿'!P42+'示例公司附注底稿'!P43),"待填")</f>
        <v>0</v>
      </c>
      <c r="Q84" s="71" t="n">
        <f>IFERROR(0+('示例公司附注底稿'!Q42+'示例公司附注底稿'!Q43),"待填")</f>
        <v>0</v>
      </c>
      <c r="R84" s="71" t="n">
        <f>IFERROR(0+('示例公司附注底稿'!R42+'示例公司附注底稿'!R43),"待填")</f>
        <v>0</v>
      </c>
      <c r="S84" s="71" t="n">
        <f>IFERROR(0+('示例公司附注底稿'!S42+'示例公司附注底稿'!S43),"待填")</f>
        <v>0</v>
      </c>
    </row>
    <row r="85" ht="18" customHeight="1">
      <c r="A85" s="2"/>
      <c r="B85" s="46" t="str"/>
      <c r="C85" s="69" t="str">
        <v>—管理人员工资（万元/年）</v>
      </c>
      <c r="D85" s="72" t="str">
        <f>IFERROR(0+(IF(ISNUMBER(D84),IF(D84=0,"n.a.",(D82+D83)*10000/D84),"n.a.")),"待填")</f>
        <v>待填</v>
      </c>
      <c r="E85" s="72" t="str">
        <f>IFERROR(0+(IF(ISNUMBER(E84),IF(E84=0,"n.a.",(E82+E83)*10000/E84),"n.a.")),"待填")</f>
        <v>待填</v>
      </c>
      <c r="F85" s="72" t="str">
        <f>IFERROR(0+(IF(ISNUMBER(F84),IF(F84=0,"n.a.",(F82+F83)*10000/F84),"n.a.")),"待填")</f>
        <v>待填</v>
      </c>
      <c r="G85" s="72" t="str">
        <f>IFERROR(0+(IF(ISNUMBER(G84),IF(G84=0,"n.a.",(G82+G83)*10000/G84),"n.a.")),"待填")</f>
        <v>待填</v>
      </c>
      <c r="H85" s="72" t="str">
        <f>IFERROR(0+(IF(ISNUMBER(H84),IF(H84=0,"n.a.",(H82+H83)*10000/H84),"n.a.")),"待填")</f>
        <v>待填</v>
      </c>
      <c r="I85" s="72" t="str">
        <f>IFERROR(0+(IF(ISNUMBER(I84),IF(I84=0,"n.a.",(I82+I83)*10000/I84),"n.a.")),"待填")</f>
        <v>待填</v>
      </c>
      <c r="J85" s="72" t="str">
        <f>IFERROR(0+(IF(ISNUMBER(J84),IF(J84=0,"n.a.",(J82+J83)*10000/J84),"n.a.")),"待填")</f>
        <v>待填</v>
      </c>
      <c r="K85" s="72" t="str">
        <f>IFERROR(0+(IF(ISNUMBER(K84),IF(K84=0,"n.a.",(K82+K83)*10000/K84),"n.a.")),"待填")</f>
        <v>待填</v>
      </c>
      <c r="L85" s="72" t="str">
        <f>IFERROR(0+(IF(ISNUMBER(L84),IF(L84=0,"n.a.",(L82+L83)*10000/L84),"n.a.")),"待填")</f>
        <v>待填</v>
      </c>
      <c r="M85" s="72" t="str">
        <f>IFERROR(0+(IF(ISNUMBER(M84),IF(M84=0,"n.a.",(M82+M83)*10000/M84),"n.a.")),"待填")</f>
        <v>待填</v>
      </c>
      <c r="N85" s="72" t="str">
        <f>IFERROR(0+(IF(ISNUMBER(N84),IF(N84=0,"n.a.",(N82+N83)*10000/N84),"n.a.")),"待填")</f>
        <v>待填</v>
      </c>
      <c r="O85" s="72" t="str">
        <f>IFERROR(0+(IF(ISNUMBER(O84),IF(O84=0,"n.a.",(O82+O83)*10000/O84),"n.a.")),"待填")</f>
        <v>待填</v>
      </c>
      <c r="P85" s="72" t="str">
        <f>IFERROR(0+(IF(ISNUMBER(P84),IF(P84=0,"n.a.",(P82+P83)*10000/P84),"n.a.")),"待填")</f>
        <v>待填</v>
      </c>
      <c r="Q85" s="72" t="str">
        <f>IFERROR(0+(IF(ISNUMBER(Q84),IF(Q84=0,"n.a.",(Q82+Q83)*10000/Q84),"n.a.")),"待填")</f>
        <v>待填</v>
      </c>
      <c r="R85" s="72" t="str">
        <f>IFERROR(0+(IF(ISNUMBER(R84),IF(R84=0,"n.a.",(R82+R83)*10000/R84),"n.a.")),"待填")</f>
        <v>待填</v>
      </c>
      <c r="S85" s="72" t="str">
        <f>IFERROR(0+(IF(ISNUMBER(S84),IF(S84=0,"n.a.",(S82+S83)*10000/S84),"n.a.")),"待填")</f>
        <v>待填</v>
      </c>
    </row>
    <row r="86" ht="18" customHeight="1">
      <c r="A86" s="2"/>
      <c r="B86" s="46" t="str"/>
      <c r="C86" s="70" t="str">
        <v>研发人员职工薪酬</v>
      </c>
      <c r="D86" s="48" t="n">
        <f>IFERROR(0+(D87+D88),"待填")</f>
        <v>0</v>
      </c>
      <c r="E86" s="48" t="n">
        <f>IFERROR(0+(E87+E88),"待填")</f>
        <v>0</v>
      </c>
      <c r="F86" s="48" t="n">
        <f>IFERROR(0+(F87+F88),"待填")</f>
        <v>0</v>
      </c>
      <c r="G86" s="48" t="n">
        <f>IFERROR(0+(G87+G88),"待填")</f>
        <v>0</v>
      </c>
      <c r="H86" s="48" t="n">
        <f>IFERROR(0+(H87+H88),"待填")</f>
        <v>0</v>
      </c>
      <c r="I86" s="48" t="n">
        <f>IFERROR(0+(I87+I88),"待填")</f>
        <v>0</v>
      </c>
      <c r="J86" s="48" t="n">
        <f>IFERROR(0+(J87+J88),"待填")</f>
        <v>0</v>
      </c>
      <c r="K86" s="48" t="n">
        <f>IFERROR(0+(K87+K88),"待填")</f>
        <v>0</v>
      </c>
      <c r="L86" s="48" t="n">
        <f>IFERROR(0+(L87+L88),"待填")</f>
        <v>0</v>
      </c>
      <c r="M86" s="48" t="n">
        <f>IFERROR(0+(M87+M88),"待填")</f>
        <v>0</v>
      </c>
      <c r="N86" s="48" t="n">
        <f>IFERROR(0+(N87+N88),"待填")</f>
        <v>0</v>
      </c>
      <c r="O86" s="48" t="n">
        <f>IFERROR(0+(O87+O88),"待填")</f>
        <v>0</v>
      </c>
      <c r="P86" s="48" t="n">
        <f>IFERROR(0+(P87+P88),"待填")</f>
        <v>0</v>
      </c>
      <c r="Q86" s="48" t="n">
        <f>IFERROR(0+(Q87+Q88),"待填")</f>
        <v>0</v>
      </c>
      <c r="R86" s="48" t="n">
        <f>IFERROR(0+(R87+R88),"待填")</f>
        <v>0</v>
      </c>
      <c r="S86" s="48" t="n">
        <f>IFERROR(0+(S87+S88),"待填")</f>
        <v>0</v>
      </c>
    </row>
    <row r="87" ht="18" customHeight="1">
      <c r="A87" s="2"/>
      <c r="B87" s="46" t="str"/>
      <c r="C87" s="69" t="str">
        <v>—研发人员职工薪酬</v>
      </c>
      <c r="D87" s="44" t="n">
        <f>IFERROR(0+('示例公司附注底稿'!D31+'示例公司附注底稿'!D35),"待填")</f>
        <v>0</v>
      </c>
      <c r="E87" s="44" t="n">
        <f>IFERROR(0+('示例公司附注底稿'!E31+'示例公司附注底稿'!E35),"待填")</f>
        <v>0</v>
      </c>
      <c r="F87" s="44" t="n">
        <f>IFERROR(0+('示例公司附注底稿'!F31+'示例公司附注底稿'!F35),"待填")</f>
        <v>0</v>
      </c>
      <c r="G87" s="44" t="n">
        <f>IFERROR(0+('示例公司附注底稿'!G31+'示例公司附注底稿'!G35),"待填")</f>
        <v>0</v>
      </c>
      <c r="H87" s="44" t="n">
        <f>IFERROR(0+('示例公司附注底稿'!H31+'示例公司附注底稿'!H35),"待填")</f>
        <v>0</v>
      </c>
      <c r="I87" s="44" t="n">
        <f>IFERROR(0+('示例公司附注底稿'!I31+'示例公司附注底稿'!I35),"待填")</f>
        <v>0</v>
      </c>
      <c r="J87" s="44" t="n">
        <f>IFERROR(0+('示例公司附注底稿'!J31+'示例公司附注底稿'!J35),"待填")</f>
        <v>0</v>
      </c>
      <c r="K87" s="44" t="n">
        <f>IFERROR(0+('示例公司附注底稿'!K31+'示例公司附注底稿'!K35),"待填")</f>
        <v>0</v>
      </c>
      <c r="L87" s="44" t="n">
        <f>IFERROR(0+('示例公司附注底稿'!L31+'示例公司附注底稿'!L35),"待填")</f>
        <v>0</v>
      </c>
      <c r="M87" s="44" t="n">
        <f>IFERROR(0+('示例公司附注底稿'!M31+'示例公司附注底稿'!M35),"待填")</f>
        <v>0</v>
      </c>
      <c r="N87" s="44" t="n">
        <f>IFERROR(0+('示例公司附注底稿'!N31+'示例公司附注底稿'!N35),"待填")</f>
        <v>0</v>
      </c>
      <c r="O87" s="44" t="n">
        <f>IFERROR(0+('示例公司附注底稿'!O31+'示例公司附注底稿'!O35),"待填")</f>
        <v>0</v>
      </c>
      <c r="P87" s="44" t="n">
        <f>IFERROR(0+('示例公司附注底稿'!P31+'示例公司附注底稿'!P35),"待填")</f>
        <v>0</v>
      </c>
      <c r="Q87" s="44" t="n">
        <f>IFERROR(0+('示例公司附注底稿'!Q31+'示例公司附注底稿'!Q35),"待填")</f>
        <v>0</v>
      </c>
      <c r="R87" s="44" t="n">
        <f>IFERROR(0+('示例公司附注底稿'!R31+'示例公司附注底稿'!R35),"待填")</f>
        <v>0</v>
      </c>
      <c r="S87" s="44" t="n">
        <f>IFERROR(0+('示例公司附注底稿'!S31+'示例公司附注底稿'!S35),"待填")</f>
        <v>0</v>
      </c>
    </row>
    <row r="88" ht="18" customHeight="1">
      <c r="A88" s="2"/>
      <c r="B88" s="46" t="str"/>
      <c r="C88" s="69" t="str">
        <v>—研发人员股份支付</v>
      </c>
      <c r="D88" s="44" t="n">
        <f>IFERROR(0+('示例公司附注底稿'!D36),"待填")</f>
        <v>0</v>
      </c>
      <c r="E88" s="44" t="n">
        <f>IFERROR(0+('示例公司附注底稿'!E36),"待填")</f>
        <v>0</v>
      </c>
      <c r="F88" s="44" t="n">
        <f>IFERROR(0+('示例公司附注底稿'!F36),"待填")</f>
        <v>0</v>
      </c>
      <c r="G88" s="44" t="n">
        <f>IFERROR(0+('示例公司附注底稿'!G36),"待填")</f>
        <v>0</v>
      </c>
      <c r="H88" s="44" t="n">
        <f>IFERROR(0+('示例公司附注底稿'!H36),"待填")</f>
        <v>0</v>
      </c>
      <c r="I88" s="44" t="n">
        <f>IFERROR(0+('示例公司附注底稿'!I36),"待填")</f>
        <v>0</v>
      </c>
      <c r="J88" s="44" t="n">
        <f>IFERROR(0+('示例公司附注底稿'!J36),"待填")</f>
        <v>0</v>
      </c>
      <c r="K88" s="44" t="n">
        <f>IFERROR(0+('示例公司附注底稿'!K36),"待填")</f>
        <v>0</v>
      </c>
      <c r="L88" s="44" t="n">
        <f>IFERROR(0+('示例公司附注底稿'!L36),"待填")</f>
        <v>0</v>
      </c>
      <c r="M88" s="44" t="n">
        <f>IFERROR(0+('示例公司附注底稿'!M36),"待填")</f>
        <v>0</v>
      </c>
      <c r="N88" s="44" t="n">
        <f>IFERROR(0+('示例公司附注底稿'!N36),"待填")</f>
        <v>0</v>
      </c>
      <c r="O88" s="44" t="n">
        <f>IFERROR(0+('示例公司附注底稿'!O36),"待填")</f>
        <v>0</v>
      </c>
      <c r="P88" s="44" t="n">
        <f>IFERROR(0+('示例公司附注底稿'!P36),"待填")</f>
        <v>0</v>
      </c>
      <c r="Q88" s="44" t="n">
        <f>IFERROR(0+('示例公司附注底稿'!Q36),"待填")</f>
        <v>0</v>
      </c>
      <c r="R88" s="44" t="n">
        <f>IFERROR(0+('示例公司附注底稿'!R36),"待填")</f>
        <v>0</v>
      </c>
      <c r="S88" s="44" t="n">
        <f>IFERROR(0+('示例公司附注底稿'!S36),"待填")</f>
        <v>0</v>
      </c>
    </row>
    <row r="89" ht="18" customHeight="1">
      <c r="A89" s="2"/>
      <c r="B89" s="46" t="str"/>
      <c r="C89" s="69" t="str">
        <v>—研发人员数量</v>
      </c>
      <c r="D89" s="71" t="n">
        <f>IFERROR(0+('示例公司附注底稿'!D41),"待填")</f>
        <v>0</v>
      </c>
      <c r="E89" s="71" t="n">
        <f>IFERROR(0+('示例公司附注底稿'!E41),"待填")</f>
        <v>0</v>
      </c>
      <c r="F89" s="71" t="n">
        <f>IFERROR(0+('示例公司附注底稿'!F41),"待填")</f>
        <v>0</v>
      </c>
      <c r="G89" s="71" t="n">
        <f>IFERROR(0+('示例公司附注底稿'!G41),"待填")</f>
        <v>0</v>
      </c>
      <c r="H89" s="71" t="n">
        <f>IFERROR(0+('示例公司附注底稿'!H41),"待填")</f>
        <v>0</v>
      </c>
      <c r="I89" s="71" t="n">
        <f>IFERROR(0+('示例公司附注底稿'!I41),"待填")</f>
        <v>0</v>
      </c>
      <c r="J89" s="71" t="n">
        <f>IFERROR(0+('示例公司附注底稿'!J41),"待填")</f>
        <v>0</v>
      </c>
      <c r="K89" s="71" t="n">
        <f>IFERROR(0+('示例公司附注底稿'!K41),"待填")</f>
        <v>0</v>
      </c>
      <c r="L89" s="71" t="n">
        <f>IFERROR(0+('示例公司附注底稿'!L41),"待填")</f>
        <v>0</v>
      </c>
      <c r="M89" s="71" t="n">
        <f>IFERROR(0+('示例公司附注底稿'!M41),"待填")</f>
        <v>0</v>
      </c>
      <c r="N89" s="71" t="n">
        <f>IFERROR(0+('示例公司附注底稿'!N41),"待填")</f>
        <v>0</v>
      </c>
      <c r="O89" s="71" t="n">
        <f>IFERROR(0+('示例公司附注底稿'!O41),"待填")</f>
        <v>0</v>
      </c>
      <c r="P89" s="71" t="n">
        <f>IFERROR(0+('示例公司附注底稿'!P41),"待填")</f>
        <v>0</v>
      </c>
      <c r="Q89" s="71" t="n">
        <f>IFERROR(0+('示例公司附注底稿'!Q41),"待填")</f>
        <v>0</v>
      </c>
      <c r="R89" s="71" t="n">
        <f>IFERROR(0+('示例公司附注底稿'!R41),"待填")</f>
        <v>0</v>
      </c>
      <c r="S89" s="71" t="n">
        <f>IFERROR(0+('示例公司附注底稿'!S41),"待填")</f>
        <v>0</v>
      </c>
    </row>
    <row r="90" ht="18" customHeight="1">
      <c r="A90" s="2"/>
      <c r="B90" s="46" t="str"/>
      <c r="C90" s="69" t="str">
        <v>—研发人员工资（万元/年）</v>
      </c>
      <c r="D90" s="72" t="str">
        <f>IFERROR(0+(IF(ISNUMBER(D89),IF(D89=0,"n.a.",(D87+D88)*10000/D89),"n.a.")),"待填")</f>
        <v>待填</v>
      </c>
      <c r="E90" s="72" t="str">
        <f>IFERROR(0+(IF(ISNUMBER(E89),IF(E89=0,"n.a.",(E87+E88)*10000/E89),"n.a.")),"待填")</f>
        <v>待填</v>
      </c>
      <c r="F90" s="72" t="str">
        <f>IFERROR(0+(IF(ISNUMBER(F89),IF(F89=0,"n.a.",(F87+F88)*10000/F89),"n.a.")),"待填")</f>
        <v>待填</v>
      </c>
      <c r="G90" s="72" t="str">
        <f>IFERROR(0+(IF(ISNUMBER(G89),IF(G89=0,"n.a.",(G87+G88)*10000/G89),"n.a.")),"待填")</f>
        <v>待填</v>
      </c>
      <c r="H90" s="72" t="str">
        <f>IFERROR(0+(IF(ISNUMBER(H89),IF(H89=0,"n.a.",(H87+H88)*10000/H89),"n.a.")),"待填")</f>
        <v>待填</v>
      </c>
      <c r="I90" s="72" t="str">
        <f>IFERROR(0+(IF(ISNUMBER(I89),IF(I89=0,"n.a.",(I87+I88)*10000/I89),"n.a.")),"待填")</f>
        <v>待填</v>
      </c>
      <c r="J90" s="72" t="str">
        <f>IFERROR(0+(IF(ISNUMBER(J89),IF(J89=0,"n.a.",(J87+J88)*10000/J89),"n.a.")),"待填")</f>
        <v>待填</v>
      </c>
      <c r="K90" s="72" t="str">
        <f>IFERROR(0+(IF(ISNUMBER(K89),IF(K89=0,"n.a.",(K87+K88)*10000/K89),"n.a.")),"待填")</f>
        <v>待填</v>
      </c>
      <c r="L90" s="72" t="str">
        <f>IFERROR(0+(IF(ISNUMBER(L89),IF(L89=0,"n.a.",(L87+L88)*10000/L89),"n.a.")),"待填")</f>
        <v>待填</v>
      </c>
      <c r="M90" s="72" t="str">
        <f>IFERROR(0+(IF(ISNUMBER(M89),IF(M89=0,"n.a.",(M87+M88)*10000/M89),"n.a.")),"待填")</f>
        <v>待填</v>
      </c>
      <c r="N90" s="72" t="str">
        <f>IFERROR(0+(IF(ISNUMBER(N89),IF(N89=0,"n.a.",(N87+N88)*10000/N89),"n.a.")),"待填")</f>
        <v>待填</v>
      </c>
      <c r="O90" s="72" t="str">
        <f>IFERROR(0+(IF(ISNUMBER(O89),IF(O89=0,"n.a.",(O87+O88)*10000/O89),"n.a.")),"待填")</f>
        <v>待填</v>
      </c>
      <c r="P90" s="72" t="str">
        <f>IFERROR(0+(IF(ISNUMBER(P89),IF(P89=0,"n.a.",(P87+P88)*10000/P89),"n.a.")),"待填")</f>
        <v>待填</v>
      </c>
      <c r="Q90" s="72" t="str">
        <f>IFERROR(0+(IF(ISNUMBER(Q89),IF(Q89=0,"n.a.",(Q87+Q88)*10000/Q89),"n.a.")),"待填")</f>
        <v>待填</v>
      </c>
      <c r="R90" s="72" t="str">
        <f>IFERROR(0+(IF(ISNUMBER(R89),IF(R89=0,"n.a.",(R87+R88)*10000/R89),"n.a.")),"待填")</f>
        <v>待填</v>
      </c>
      <c r="S90" s="72" t="str">
        <f>IFERROR(0+(IF(ISNUMBER(S89),IF(S89=0,"n.a.",(S87+S88)*10000/S89),"n.a.")),"待填")</f>
        <v>待填</v>
      </c>
    </row>
    <row r="91" ht="18" customHeight="1">
      <c r="A91" s="2" t="str">
        <v>可变成本</v>
      </c>
      <c r="B91" s="46" t="str">
        <v>营业收入 − 其余已识别分配项</v>
      </c>
      <c r="C91" s="68" t="str">
        <v>供应商（含委外加工）</v>
      </c>
      <c r="D91" s="63" t="n">
        <f>IFERROR(0+(D39-(D41+D48+D49+D51+D72+D92+D93+D96+D97+D101+D102)),"待填")</f>
        <v>0</v>
      </c>
      <c r="E91" s="63" t="n">
        <f>IFERROR(0+(E39-(E41+E48+E49+E51+E72+E92+E93+E96+E97+E101+E102)),"待填")</f>
        <v>0</v>
      </c>
      <c r="F91" s="63" t="n">
        <f>IFERROR(0+(F39-(F41+F48+F49+F51+F72+F92+F93+F96+F97+F101+F102)),"待填")</f>
        <v>0</v>
      </c>
      <c r="G91" s="63" t="n">
        <f>IFERROR(0+(G39-(G41+G48+G49+G51+G72+G92+G93+G96+G97+G101+G102)),"待填")</f>
        <v>0</v>
      </c>
      <c r="H91" s="63" t="n">
        <f>IFERROR(0+(H39-(H41+H48+H49+H51+H72+H92+H93+H96+H97+H101+H102)),"待填")</f>
        <v>0</v>
      </c>
      <c r="I91" s="63" t="n">
        <f>IFERROR(0+(I39-(I41+I48+I49+I51+I72+I92+I93+I96+I97+I101+I102)),"待填")</f>
        <v>0</v>
      </c>
      <c r="J91" s="63" t="n">
        <f>IFERROR(0+(J39-(J41+J48+J49+J51+J72+J92+J93+J96+J97+J101+J102)),"待填")</f>
        <v>0</v>
      </c>
      <c r="K91" s="63" t="n">
        <f>IFERROR(0+(K39-(K41+K48+K49+K51+K72+K92+K93+K96+K97+K101+K102)),"待填")</f>
        <v>0</v>
      </c>
      <c r="L91" s="63" t="n">
        <f>IFERROR(0+(L39-(L41+L48+L49+L51+L72+L92+L93+L96+L97+L101+L102)),"待填")</f>
        <v>0</v>
      </c>
      <c r="M91" s="63" t="n">
        <f>IFERROR(0+(M39-(M41+M48+M49+M51+M72+M92+M93+M96+M97+M101+M102)),"待填")</f>
        <v>0</v>
      </c>
      <c r="N91" s="63" t="n">
        <f>IFERROR(0+(N39-(N41+N48+N49+N51+N72+N92+N93+N96+N97+N101+N102)),"待填")</f>
        <v>0</v>
      </c>
      <c r="O91" s="63" t="n">
        <f>IFERROR(0+(O39-(O41+O48+O49+O51+O72+O92+O93+O96+O97+O101+O102)),"待填")</f>
        <v>0</v>
      </c>
      <c r="P91" s="63" t="n">
        <f>IFERROR(0+(P39-(P41+P48+P49+P51+P72+P92+P93+P96+P97+P101+P102)),"待填")</f>
        <v>0</v>
      </c>
      <c r="Q91" s="63" t="n">
        <f>IFERROR(0+(Q39-(Q41+Q48+Q49+Q51+Q72+Q92+Q93+Q96+Q97+Q101+Q102)),"待填")</f>
        <v>0</v>
      </c>
      <c r="R91" s="63" t="n">
        <f>IFERROR(0+(R39-(R41+R48+R49+R51+R72+R92+R93+R96+R97+R101+R102)),"待填")</f>
        <v>0</v>
      </c>
      <c r="S91" s="63" t="n">
        <f>IFERROR(0+(S39-(S41+S48+S49+S51+S72+S92+S93+S96+S97+S101+S102)),"待填")</f>
        <v>0</v>
      </c>
    </row>
    <row r="92" ht="18" customHeight="1">
      <c r="A92" s="2" t="str">
        <v>固定成本</v>
      </c>
      <c r="B92" s="46" t="str">
        <v>财务费用净额</v>
      </c>
      <c r="C92" s="68" t="str">
        <v>银行</v>
      </c>
      <c r="D92" s="63" t="n">
        <f>IFERROR(0+('示例公司三表'!D23/100),"待填")</f>
        <v>0</v>
      </c>
      <c r="E92" s="63" t="n">
        <f>IFERROR(0+('示例公司三表'!E23/100),"待填")</f>
        <v>0</v>
      </c>
      <c r="F92" s="63" t="n">
        <f>IFERROR(0+('示例公司三表'!F23/100),"待填")</f>
        <v>0</v>
      </c>
      <c r="G92" s="63" t="n">
        <f>IFERROR(0+('示例公司三表'!G23/100),"待填")</f>
        <v>0</v>
      </c>
      <c r="H92" s="63" t="n">
        <f>IFERROR(0+('示例公司三表'!H23/100),"待填")</f>
        <v>0</v>
      </c>
      <c r="I92" s="63" t="n">
        <f>IFERROR(0+('示例公司三表'!I23/100),"待填")</f>
        <v>0</v>
      </c>
      <c r="J92" s="63" t="n">
        <f>IFERROR(0+('示例公司三表'!J23/100),"待填")</f>
        <v>0</v>
      </c>
      <c r="K92" s="63" t="n">
        <f>IFERROR(0+('示例公司三表'!K23/100),"待填")</f>
        <v>0</v>
      </c>
      <c r="L92" s="63" t="n">
        <f>IFERROR(0+('示例公司三表'!L23/100),"待填")</f>
        <v>0</v>
      </c>
      <c r="M92" s="63" t="n">
        <f>IFERROR(0+('示例公司三表'!M23/100),"待填")</f>
        <v>0</v>
      </c>
      <c r="N92" s="63" t="n">
        <f>IFERROR(0+('示例公司三表'!N23/100),"待填")</f>
        <v>0</v>
      </c>
      <c r="O92" s="63" t="n">
        <f>IFERROR(0+('示例公司三表'!O23/100),"待填")</f>
        <v>0</v>
      </c>
      <c r="P92" s="63" t="n">
        <f>IFERROR(0+('示例公司三表'!P23/100),"待填")</f>
        <v>0</v>
      </c>
      <c r="Q92" s="63" t="n">
        <f>IFERROR(0+('示例公司三表'!Q23/100),"待填")</f>
        <v>0</v>
      </c>
      <c r="R92" s="63" t="n">
        <f>IFERROR(0+('示例公司三表'!R23/100),"待填")</f>
        <v>0</v>
      </c>
      <c r="S92" s="63" t="n">
        <f>IFERROR(0+('示例公司三表'!S23/100),"待填")</f>
        <v>0</v>
      </c>
    </row>
    <row r="93" ht="36" customHeight="1">
      <c r="A93" s="2" t="str">
        <v>固定成本</v>
      </c>
      <c r="B93" s="46" t="str">
        <v>税金及附加 + 所得税费用；不含增值税</v>
      </c>
      <c r="C93" s="68" t="str">
        <v>政府</v>
      </c>
      <c r="D93" s="63" t="n">
        <f>IFERROR(0+(('示例公司三表'!D19+'示例公司三表'!D39)/100),"待填")</f>
        <v>0</v>
      </c>
      <c r="E93" s="63" t="n">
        <f>IFERROR(0+(('示例公司三表'!E19+'示例公司三表'!E39)/100),"待填")</f>
        <v>0</v>
      </c>
      <c r="F93" s="63" t="n">
        <f>IFERROR(0+(('示例公司三表'!F19+'示例公司三表'!F39)/100),"待填")</f>
        <v>0</v>
      </c>
      <c r="G93" s="63" t="n">
        <f>IFERROR(0+(('示例公司三表'!G19+'示例公司三表'!G39)/100),"待填")</f>
        <v>0</v>
      </c>
      <c r="H93" s="63" t="n">
        <f>IFERROR(0+(('示例公司三表'!H19+'示例公司三表'!H39)/100),"待填")</f>
        <v>0</v>
      </c>
      <c r="I93" s="63" t="n">
        <f>IFERROR(0+(('示例公司三表'!I19+'示例公司三表'!I39)/100),"待填")</f>
        <v>0</v>
      </c>
      <c r="J93" s="63" t="n">
        <f>IFERROR(0+(('示例公司三表'!J19+'示例公司三表'!J39)/100),"待填")</f>
        <v>0</v>
      </c>
      <c r="K93" s="63" t="n">
        <f>IFERROR(0+(('示例公司三表'!K19+'示例公司三表'!K39)/100),"待填")</f>
        <v>0</v>
      </c>
      <c r="L93" s="63" t="n">
        <f>IFERROR(0+(('示例公司三表'!L19+'示例公司三表'!L39)/100),"待填")</f>
        <v>0</v>
      </c>
      <c r="M93" s="63" t="n">
        <f>IFERROR(0+(('示例公司三表'!M19+'示例公司三表'!M39)/100),"待填")</f>
        <v>0</v>
      </c>
      <c r="N93" s="63" t="n">
        <f>IFERROR(0+(('示例公司三表'!N19+'示例公司三表'!N39)/100),"待填")</f>
        <v>0</v>
      </c>
      <c r="O93" s="63" t="n">
        <f>IFERROR(0+(('示例公司三表'!O19+'示例公司三表'!O39)/100),"待填")</f>
        <v>0</v>
      </c>
      <c r="P93" s="63" t="n">
        <f>IFERROR(0+(('示例公司三表'!P19+'示例公司三表'!P39)/100),"待填")</f>
        <v>0</v>
      </c>
      <c r="Q93" s="63" t="n">
        <f>IFERROR(0+(('示例公司三表'!Q19+'示例公司三表'!Q39)/100),"待填")</f>
        <v>0</v>
      </c>
      <c r="R93" s="63" t="n">
        <f>IFERROR(0+(('示例公司三表'!R19+'示例公司三表'!R39)/100),"待填")</f>
        <v>0</v>
      </c>
      <c r="S93" s="63" t="n">
        <f>IFERROR(0+(('示例公司三表'!S19+'示例公司三表'!S39)/100),"待填")</f>
        <v>0</v>
      </c>
    </row>
    <row r="94" ht="18" customHeight="1">
      <c r="A94" s="2"/>
      <c r="B94" s="46" t="str"/>
      <c r="C94" s="69" t="str">
        <v>—税金及附加</v>
      </c>
      <c r="D94" s="44" t="n">
        <f>IFERROR(0+('示例公司三表'!D19/100),"待填")</f>
        <v>0</v>
      </c>
      <c r="E94" s="44" t="n">
        <f>IFERROR(0+('示例公司三表'!E19/100),"待填")</f>
        <v>0</v>
      </c>
      <c r="F94" s="44" t="n">
        <f>IFERROR(0+('示例公司三表'!F19/100),"待填")</f>
        <v>0</v>
      </c>
      <c r="G94" s="44" t="n">
        <f>IFERROR(0+('示例公司三表'!G19/100),"待填")</f>
        <v>0</v>
      </c>
      <c r="H94" s="44" t="n">
        <f>IFERROR(0+('示例公司三表'!H19/100),"待填")</f>
        <v>0</v>
      </c>
      <c r="I94" s="44" t="n">
        <f>IFERROR(0+('示例公司三表'!I19/100),"待填")</f>
        <v>0</v>
      </c>
      <c r="J94" s="44" t="n">
        <f>IFERROR(0+('示例公司三表'!J19/100),"待填")</f>
        <v>0</v>
      </c>
      <c r="K94" s="44" t="n">
        <f>IFERROR(0+('示例公司三表'!K19/100),"待填")</f>
        <v>0</v>
      </c>
      <c r="L94" s="44" t="n">
        <f>IFERROR(0+('示例公司三表'!L19/100),"待填")</f>
        <v>0</v>
      </c>
      <c r="M94" s="44" t="n">
        <f>IFERROR(0+('示例公司三表'!M19/100),"待填")</f>
        <v>0</v>
      </c>
      <c r="N94" s="44" t="n">
        <f>IFERROR(0+('示例公司三表'!N19/100),"待填")</f>
        <v>0</v>
      </c>
      <c r="O94" s="44" t="n">
        <f>IFERROR(0+('示例公司三表'!O19/100),"待填")</f>
        <v>0</v>
      </c>
      <c r="P94" s="44" t="n">
        <f>IFERROR(0+('示例公司三表'!P19/100),"待填")</f>
        <v>0</v>
      </c>
      <c r="Q94" s="44" t="n">
        <f>IFERROR(0+('示例公司三表'!Q19/100),"待填")</f>
        <v>0</v>
      </c>
      <c r="R94" s="44" t="n">
        <f>IFERROR(0+('示例公司三表'!R19/100),"待填")</f>
        <v>0</v>
      </c>
      <c r="S94" s="44" t="n">
        <f>IFERROR(0+('示例公司三表'!S19/100),"待填")</f>
        <v>0</v>
      </c>
    </row>
    <row r="95" ht="18" customHeight="1">
      <c r="A95" s="2"/>
      <c r="B95" s="46" t="str"/>
      <c r="C95" s="69" t="str">
        <v>—所得税费用</v>
      </c>
      <c r="D95" s="44" t="n">
        <f>IFERROR(0+('示例公司三表'!D39/100),"待填")</f>
        <v>0</v>
      </c>
      <c r="E95" s="44" t="n">
        <f>IFERROR(0+('示例公司三表'!E39/100),"待填")</f>
        <v>0</v>
      </c>
      <c r="F95" s="44" t="n">
        <f>IFERROR(0+('示例公司三表'!F39/100),"待填")</f>
        <v>0</v>
      </c>
      <c r="G95" s="44" t="n">
        <f>IFERROR(0+('示例公司三表'!G39/100),"待填")</f>
        <v>0</v>
      </c>
      <c r="H95" s="44" t="n">
        <f>IFERROR(0+('示例公司三表'!H39/100),"待填")</f>
        <v>0</v>
      </c>
      <c r="I95" s="44" t="n">
        <f>IFERROR(0+('示例公司三表'!I39/100),"待填")</f>
        <v>0</v>
      </c>
      <c r="J95" s="44" t="n">
        <f>IFERROR(0+('示例公司三表'!J39/100),"待填")</f>
        <v>0</v>
      </c>
      <c r="K95" s="44" t="n">
        <f>IFERROR(0+('示例公司三表'!K39/100),"待填")</f>
        <v>0</v>
      </c>
      <c r="L95" s="44" t="n">
        <f>IFERROR(0+('示例公司三表'!L39/100),"待填")</f>
        <v>0</v>
      </c>
      <c r="M95" s="44" t="n">
        <f>IFERROR(0+('示例公司三表'!M39/100),"待填")</f>
        <v>0</v>
      </c>
      <c r="N95" s="44" t="n">
        <f>IFERROR(0+('示例公司三表'!N39/100),"待填")</f>
        <v>0</v>
      </c>
      <c r="O95" s="44" t="n">
        <f>IFERROR(0+('示例公司三表'!O39/100),"待填")</f>
        <v>0</v>
      </c>
      <c r="P95" s="44" t="n">
        <f>IFERROR(0+('示例公司三表'!P39/100),"待填")</f>
        <v>0</v>
      </c>
      <c r="Q95" s="44" t="n">
        <f>IFERROR(0+('示例公司三表'!Q39/100),"待填")</f>
        <v>0</v>
      </c>
      <c r="R95" s="44" t="n">
        <f>IFERROR(0+('示例公司三表'!R39/100),"待填")</f>
        <v>0</v>
      </c>
      <c r="S95" s="44" t="n">
        <f>IFERROR(0+('示例公司三表'!S39/100),"待填")</f>
        <v>0</v>
      </c>
    </row>
    <row r="96" ht="18" customHeight="1">
      <c r="A96" s="2" t="str">
        <v>固定成本</v>
      </c>
      <c r="B96" s="46" t="str">
        <v>现金流补充资料折旧口径</v>
      </c>
      <c r="C96" s="68" t="str">
        <v>折旧</v>
      </c>
      <c r="D96" s="63" t="n">
        <f>IFERROR(0+('示例公司三表'!D217/100),"待填")</f>
        <v>0</v>
      </c>
      <c r="E96" s="63" t="n">
        <f>IFERROR(0+('示例公司三表'!E217/100),"待填")</f>
        <v>0</v>
      </c>
      <c r="F96" s="63" t="n">
        <f>IFERROR(0+('示例公司三表'!F217/100),"待填")</f>
        <v>0</v>
      </c>
      <c r="G96" s="63" t="n">
        <f>IFERROR(0+('示例公司三表'!G217/100),"待填")</f>
        <v>0</v>
      </c>
      <c r="H96" s="63" t="n">
        <f>IFERROR(0+('示例公司三表'!H217/100),"待填")</f>
        <v>0</v>
      </c>
      <c r="I96" s="63" t="n">
        <f>IFERROR(0+('示例公司三表'!I217/100),"待填")</f>
        <v>0</v>
      </c>
      <c r="J96" s="63" t="n">
        <f>IFERROR(0+('示例公司三表'!J217/100),"待填")</f>
        <v>0</v>
      </c>
      <c r="K96" s="63" t="n">
        <f>IFERROR(0+('示例公司三表'!K217/100),"待填")</f>
        <v>0</v>
      </c>
      <c r="L96" s="63" t="n">
        <f>IFERROR(0+('示例公司三表'!L217/100),"待填")</f>
        <v>0</v>
      </c>
      <c r="M96" s="63" t="n">
        <f>IFERROR(0+('示例公司三表'!M217/100),"待填")</f>
        <v>0</v>
      </c>
      <c r="N96" s="63" t="n">
        <f>IFERROR(0+('示例公司三表'!N217/100),"待填")</f>
        <v>0</v>
      </c>
      <c r="O96" s="63" t="n">
        <f>IFERROR(0+('示例公司三表'!O217/100),"待填")</f>
        <v>0</v>
      </c>
      <c r="P96" s="63" t="n">
        <f>IFERROR(0+('示例公司三表'!P217/100),"待填")</f>
        <v>0</v>
      </c>
      <c r="Q96" s="63" t="n">
        <f>IFERROR(0+('示例公司三表'!Q217/100),"待填")</f>
        <v>0</v>
      </c>
      <c r="R96" s="63" t="n">
        <f>IFERROR(0+('示例公司三表'!R217/100),"待填")</f>
        <v>0</v>
      </c>
      <c r="S96" s="63" t="n">
        <f>IFERROR(0+('示例公司三表'!S217/100),"待填")</f>
        <v>0</v>
      </c>
    </row>
    <row r="97" ht="36" customHeight="1">
      <c r="A97" s="2" t="str">
        <v>固定成本</v>
      </c>
      <c r="B97" s="46" t="str">
        <v>无形资产 + 长期待摊 + 单列使用权折摊</v>
      </c>
      <c r="C97" s="68" t="str">
        <v>摊销</v>
      </c>
      <c r="D97" s="63" t="n">
        <f>IFERROR(0+(('示例公司三表'!D219+'示例公司三表'!D220+'示例公司三表'!D218)/100),"待填")</f>
        <v>0</v>
      </c>
      <c r="E97" s="63" t="n">
        <f>IFERROR(0+(('示例公司三表'!E219+'示例公司三表'!E220+'示例公司三表'!E218)/100),"待填")</f>
        <v>0</v>
      </c>
      <c r="F97" s="63" t="n">
        <f>IFERROR(0+(('示例公司三表'!F219+'示例公司三表'!F220+'示例公司三表'!F218)/100),"待填")</f>
        <v>0</v>
      </c>
      <c r="G97" s="63" t="n">
        <f>IFERROR(0+(('示例公司三表'!G219+'示例公司三表'!G220+'示例公司三表'!G218)/100),"待填")</f>
        <v>0</v>
      </c>
      <c r="H97" s="63" t="n">
        <f>IFERROR(0+(('示例公司三表'!H219+'示例公司三表'!H220+'示例公司三表'!H218)/100),"待填")</f>
        <v>0</v>
      </c>
      <c r="I97" s="63" t="n">
        <f>IFERROR(0+(('示例公司三表'!I219+'示例公司三表'!I220+'示例公司三表'!I218)/100),"待填")</f>
        <v>0</v>
      </c>
      <c r="J97" s="63" t="n">
        <f>IFERROR(0+(('示例公司三表'!J219+'示例公司三表'!J220+'示例公司三表'!J218)/100),"待填")</f>
        <v>0</v>
      </c>
      <c r="K97" s="63" t="n">
        <f>IFERROR(0+(('示例公司三表'!K219+'示例公司三表'!K220+'示例公司三表'!K218)/100),"待填")</f>
        <v>0</v>
      </c>
      <c r="L97" s="63" t="n">
        <f>IFERROR(0+(('示例公司三表'!L219+'示例公司三表'!L220+'示例公司三表'!L218)/100),"待填")</f>
        <v>0</v>
      </c>
      <c r="M97" s="63" t="n">
        <f>IFERROR(0+(('示例公司三表'!M219+'示例公司三表'!M220+'示例公司三表'!M218)/100),"待填")</f>
        <v>0</v>
      </c>
      <c r="N97" s="63" t="n">
        <f>IFERROR(0+(('示例公司三表'!N219+'示例公司三表'!N220+'示例公司三表'!N218)/100),"待填")</f>
        <v>0</v>
      </c>
      <c r="O97" s="63" t="n">
        <f>IFERROR(0+(('示例公司三表'!O219+'示例公司三表'!O220+'示例公司三表'!O218)/100),"待填")</f>
        <v>0</v>
      </c>
      <c r="P97" s="63" t="n">
        <f>IFERROR(0+(('示例公司三表'!P219+'示例公司三表'!P220+'示例公司三表'!P218)/100),"待填")</f>
        <v>0</v>
      </c>
      <c r="Q97" s="63" t="n">
        <f>IFERROR(0+(('示例公司三表'!Q219+'示例公司三表'!Q220+'示例公司三表'!Q218)/100),"待填")</f>
        <v>0</v>
      </c>
      <c r="R97" s="63" t="n">
        <f>IFERROR(0+(('示例公司三表'!R219+'示例公司三表'!R220+'示例公司三表'!R218)/100),"待填")</f>
        <v>0</v>
      </c>
      <c r="S97" s="63" t="n">
        <f>IFERROR(0+(('示例公司三表'!S219+'示例公司三表'!S220+'示例公司三表'!S218)/100),"待填")</f>
        <v>0</v>
      </c>
    </row>
    <row r="98" ht="18" customHeight="1">
      <c r="A98" s="2"/>
      <c r="B98" s="46" t="str"/>
      <c r="C98" s="69" t="str">
        <v>—无形资产摊销</v>
      </c>
      <c r="D98" s="44" t="n">
        <f>IFERROR(0+('示例公司三表'!D219/100),"待填")</f>
        <v>0</v>
      </c>
      <c r="E98" s="44" t="n">
        <f>IFERROR(0+('示例公司三表'!E219/100),"待填")</f>
        <v>0</v>
      </c>
      <c r="F98" s="44" t="n">
        <f>IFERROR(0+('示例公司三表'!F219/100),"待填")</f>
        <v>0</v>
      </c>
      <c r="G98" s="44" t="n">
        <f>IFERROR(0+('示例公司三表'!G219/100),"待填")</f>
        <v>0</v>
      </c>
      <c r="H98" s="44" t="n">
        <f>IFERROR(0+('示例公司三表'!H219/100),"待填")</f>
        <v>0</v>
      </c>
      <c r="I98" s="44" t="n">
        <f>IFERROR(0+('示例公司三表'!I219/100),"待填")</f>
        <v>0</v>
      </c>
      <c r="J98" s="44" t="n">
        <f>IFERROR(0+('示例公司三表'!J219/100),"待填")</f>
        <v>0</v>
      </c>
      <c r="K98" s="44" t="n">
        <f>IFERROR(0+('示例公司三表'!K219/100),"待填")</f>
        <v>0</v>
      </c>
      <c r="L98" s="44" t="n">
        <f>IFERROR(0+('示例公司三表'!L219/100),"待填")</f>
        <v>0</v>
      </c>
      <c r="M98" s="44" t="n">
        <f>IFERROR(0+('示例公司三表'!M219/100),"待填")</f>
        <v>0</v>
      </c>
      <c r="N98" s="44" t="n">
        <f>IFERROR(0+('示例公司三表'!N219/100),"待填")</f>
        <v>0</v>
      </c>
      <c r="O98" s="44" t="n">
        <f>IFERROR(0+('示例公司三表'!O219/100),"待填")</f>
        <v>0</v>
      </c>
      <c r="P98" s="44" t="n">
        <f>IFERROR(0+('示例公司三表'!P219/100),"待填")</f>
        <v>0</v>
      </c>
      <c r="Q98" s="44" t="n">
        <f>IFERROR(0+('示例公司三表'!Q219/100),"待填")</f>
        <v>0</v>
      </c>
      <c r="R98" s="44" t="n">
        <f>IFERROR(0+('示例公司三表'!R219/100),"待填")</f>
        <v>0</v>
      </c>
      <c r="S98" s="44" t="n">
        <f>IFERROR(0+('示例公司三表'!S219/100),"待填")</f>
        <v>0</v>
      </c>
    </row>
    <row r="99" ht="18" customHeight="1">
      <c r="A99" s="2"/>
      <c r="B99" s="46" t="str"/>
      <c r="C99" s="69" t="str">
        <v>—长期待摊费用摊销</v>
      </c>
      <c r="D99" s="44" t="n">
        <f>IFERROR(0+('示例公司三表'!D220/100),"待填")</f>
        <v>0</v>
      </c>
      <c r="E99" s="44" t="n">
        <f>IFERROR(0+('示例公司三表'!E220/100),"待填")</f>
        <v>0</v>
      </c>
      <c r="F99" s="44" t="n">
        <f>IFERROR(0+('示例公司三表'!F220/100),"待填")</f>
        <v>0</v>
      </c>
      <c r="G99" s="44" t="n">
        <f>IFERROR(0+('示例公司三表'!G220/100),"待填")</f>
        <v>0</v>
      </c>
      <c r="H99" s="44" t="n">
        <f>IFERROR(0+('示例公司三表'!H220/100),"待填")</f>
        <v>0</v>
      </c>
      <c r="I99" s="44" t="n">
        <f>IFERROR(0+('示例公司三表'!I220/100),"待填")</f>
        <v>0</v>
      </c>
      <c r="J99" s="44" t="n">
        <f>IFERROR(0+('示例公司三表'!J220/100),"待填")</f>
        <v>0</v>
      </c>
      <c r="K99" s="44" t="n">
        <f>IFERROR(0+('示例公司三表'!K220/100),"待填")</f>
        <v>0</v>
      </c>
      <c r="L99" s="44" t="n">
        <f>IFERROR(0+('示例公司三表'!L220/100),"待填")</f>
        <v>0</v>
      </c>
      <c r="M99" s="44" t="n">
        <f>IFERROR(0+('示例公司三表'!M220/100),"待填")</f>
        <v>0</v>
      </c>
      <c r="N99" s="44" t="n">
        <f>IFERROR(0+('示例公司三表'!N220/100),"待填")</f>
        <v>0</v>
      </c>
      <c r="O99" s="44" t="n">
        <f>IFERROR(0+('示例公司三表'!O220/100),"待填")</f>
        <v>0</v>
      </c>
      <c r="P99" s="44" t="n">
        <f>IFERROR(0+('示例公司三表'!P220/100),"待填")</f>
        <v>0</v>
      </c>
      <c r="Q99" s="44" t="n">
        <f>IFERROR(0+('示例公司三表'!Q220/100),"待填")</f>
        <v>0</v>
      </c>
      <c r="R99" s="44" t="n">
        <f>IFERROR(0+('示例公司三表'!R220/100),"待填")</f>
        <v>0</v>
      </c>
      <c r="S99" s="44" t="n">
        <f>IFERROR(0+('示例公司三表'!S220/100),"待填")</f>
        <v>0</v>
      </c>
    </row>
    <row r="100" ht="18" customHeight="1">
      <c r="A100" s="2"/>
      <c r="B100" s="46" t="str"/>
      <c r="C100" s="69" t="str">
        <v>—使用权资产折旧与摊销</v>
      </c>
      <c r="D100" s="44" t="n">
        <f>IFERROR(0+('示例公司三表'!D218/100),"待填")</f>
        <v>0</v>
      </c>
      <c r="E100" s="44" t="n">
        <f>IFERROR(0+('示例公司三表'!E218/100),"待填")</f>
        <v>0</v>
      </c>
      <c r="F100" s="44" t="n">
        <f>IFERROR(0+('示例公司三表'!F218/100),"待填")</f>
        <v>0</v>
      </c>
      <c r="G100" s="44" t="n">
        <f>IFERROR(0+('示例公司三表'!G218/100),"待填")</f>
        <v>0</v>
      </c>
      <c r="H100" s="44" t="n">
        <f>IFERROR(0+('示例公司三表'!H218/100),"待填")</f>
        <v>0</v>
      </c>
      <c r="I100" s="44" t="n">
        <f>IFERROR(0+('示例公司三表'!I218/100),"待填")</f>
        <v>0</v>
      </c>
      <c r="J100" s="44" t="n">
        <f>IFERROR(0+('示例公司三表'!J218/100),"待填")</f>
        <v>0</v>
      </c>
      <c r="K100" s="44" t="n">
        <f>IFERROR(0+('示例公司三表'!K218/100),"待填")</f>
        <v>0</v>
      </c>
      <c r="L100" s="44" t="n">
        <f>IFERROR(0+('示例公司三表'!L218/100),"待填")</f>
        <v>0</v>
      </c>
      <c r="M100" s="44" t="n">
        <f>IFERROR(0+('示例公司三表'!M218/100),"待填")</f>
        <v>0</v>
      </c>
      <c r="N100" s="44" t="n">
        <f>IFERROR(0+('示例公司三表'!N218/100),"待填")</f>
        <v>0</v>
      </c>
      <c r="O100" s="44" t="n">
        <f>IFERROR(0+('示例公司三表'!O218/100),"待填")</f>
        <v>0</v>
      </c>
      <c r="P100" s="44" t="n">
        <f>IFERROR(0+('示例公司三表'!P218/100),"待填")</f>
        <v>0</v>
      </c>
      <c r="Q100" s="44" t="n">
        <f>IFERROR(0+('示例公司三表'!Q218/100),"待填")</f>
        <v>0</v>
      </c>
      <c r="R100" s="44" t="n">
        <f>IFERROR(0+('示例公司三表'!R218/100),"待填")</f>
        <v>0</v>
      </c>
      <c r="S100" s="44" t="n">
        <f>IFERROR(0+('示例公司三表'!S218/100),"待填")</f>
        <v>0</v>
      </c>
    </row>
    <row r="101" ht="18" customHeight="1">
      <c r="A101" s="2"/>
      <c r="B101" s="46" t="str">
        <v>少数股东损益</v>
      </c>
      <c r="C101" s="68" t="str">
        <v>净利润-少数股东</v>
      </c>
      <c r="D101" s="63" t="n">
        <f>IFERROR(0+('示例公司三表'!D44/100),"待填")</f>
        <v>0</v>
      </c>
      <c r="E101" s="63" t="n">
        <f>IFERROR(0+('示例公司三表'!E44/100),"待填")</f>
        <v>0</v>
      </c>
      <c r="F101" s="63" t="n">
        <f>IFERROR(0+('示例公司三表'!F44/100),"待填")</f>
        <v>0</v>
      </c>
      <c r="G101" s="63" t="n">
        <f>IFERROR(0+('示例公司三表'!G44/100),"待填")</f>
        <v>0</v>
      </c>
      <c r="H101" s="63" t="n">
        <f>IFERROR(0+('示例公司三表'!H44/100),"待填")</f>
        <v>0</v>
      </c>
      <c r="I101" s="63" t="n">
        <f>IFERROR(0+('示例公司三表'!I44/100),"待填")</f>
        <v>0</v>
      </c>
      <c r="J101" s="63" t="n">
        <f>IFERROR(0+('示例公司三表'!J44/100),"待填")</f>
        <v>0</v>
      </c>
      <c r="K101" s="63" t="n">
        <f>IFERROR(0+('示例公司三表'!K44/100),"待填")</f>
        <v>0</v>
      </c>
      <c r="L101" s="63" t="n">
        <f>IFERROR(0+('示例公司三表'!L44/100),"待填")</f>
        <v>0</v>
      </c>
      <c r="M101" s="63" t="n">
        <f>IFERROR(0+('示例公司三表'!M44/100),"待填")</f>
        <v>0</v>
      </c>
      <c r="N101" s="63" t="n">
        <f>IFERROR(0+('示例公司三表'!N44/100),"待填")</f>
        <v>0</v>
      </c>
      <c r="O101" s="63" t="n">
        <f>IFERROR(0+('示例公司三表'!O44/100),"待填")</f>
        <v>0</v>
      </c>
      <c r="P101" s="63" t="n">
        <f>IFERROR(0+('示例公司三表'!P44/100),"待填")</f>
        <v>0</v>
      </c>
      <c r="Q101" s="63" t="n">
        <f>IFERROR(0+('示例公司三表'!Q44/100),"待填")</f>
        <v>0</v>
      </c>
      <c r="R101" s="63" t="n">
        <f>IFERROR(0+('示例公司三表'!R44/100),"待填")</f>
        <v>0</v>
      </c>
      <c r="S101" s="63" t="n">
        <f>IFERROR(0+('示例公司三表'!S44/100),"待填")</f>
        <v>0</v>
      </c>
    </row>
    <row r="102" ht="18" customHeight="1">
      <c r="A102" s="2"/>
      <c r="B102" s="46" t="str">
        <v>归母净利润</v>
      </c>
      <c r="C102" s="68" t="str">
        <v>净利润-母公司股东</v>
      </c>
      <c r="D102" s="63" t="n">
        <f>IFERROR(0+('示例公司三表'!D43/100),"待填")</f>
        <v>0</v>
      </c>
      <c r="E102" s="63" t="n">
        <f>IFERROR(0+('示例公司三表'!E43/100),"待填")</f>
        <v>0</v>
      </c>
      <c r="F102" s="63" t="n">
        <f>IFERROR(0+('示例公司三表'!F43/100),"待填")</f>
        <v>0</v>
      </c>
      <c r="G102" s="63" t="n">
        <f>IFERROR(0+('示例公司三表'!G43/100),"待填")</f>
        <v>0</v>
      </c>
      <c r="H102" s="63" t="n">
        <f>IFERROR(0+('示例公司三表'!H43/100),"待填")</f>
        <v>0</v>
      </c>
      <c r="I102" s="63" t="n">
        <f>IFERROR(0+('示例公司三表'!I43/100),"待填")</f>
        <v>0</v>
      </c>
      <c r="J102" s="63" t="n">
        <f>IFERROR(0+('示例公司三表'!J43/100),"待填")</f>
        <v>0</v>
      </c>
      <c r="K102" s="63" t="n">
        <f>IFERROR(0+('示例公司三表'!K43/100),"待填")</f>
        <v>0</v>
      </c>
      <c r="L102" s="63" t="n">
        <f>IFERROR(0+('示例公司三表'!L43/100),"待填")</f>
        <v>0</v>
      </c>
      <c r="M102" s="63" t="n">
        <f>IFERROR(0+('示例公司三表'!M43/100),"待填")</f>
        <v>0</v>
      </c>
      <c r="N102" s="63" t="n">
        <f>IFERROR(0+('示例公司三表'!N43/100),"待填")</f>
        <v>0</v>
      </c>
      <c r="O102" s="63" t="n">
        <f>IFERROR(0+('示例公司三表'!O43/100),"待填")</f>
        <v>0</v>
      </c>
      <c r="P102" s="63" t="n">
        <f>IFERROR(0+('示例公司三表'!P43/100),"待填")</f>
        <v>0</v>
      </c>
      <c r="Q102" s="63" t="n">
        <f>IFERROR(0+('示例公司三表'!Q43/100),"待填")</f>
        <v>0</v>
      </c>
      <c r="R102" s="63" t="n">
        <f>IFERROR(0+('示例公司三表'!R43/100),"待填")</f>
        <v>0</v>
      </c>
      <c r="S102" s="63" t="n">
        <f>IFERROR(0+('示例公司三表'!S43/100),"待填")</f>
        <v>0</v>
      </c>
    </row>
    <row r="103" ht="18" customHeight="1">
      <c r="A103" s="2"/>
      <c r="B103" s="46" t="str"/>
      <c r="C103" s="2" t="str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ht="18" customHeight="1">
      <c r="A104" s="2"/>
      <c r="B104" s="46" t="str"/>
      <c r="C104" s="2" t="str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ht="21" customHeight="1">
      <c r="A105" s="2"/>
      <c r="B105" s="46" t="str"/>
      <c r="C105" s="54" t="str">
        <v>项目占比</v>
      </c>
      <c r="D105" s="55" t="str">
        <v>2010年</v>
      </c>
      <c r="E105" s="55" t="str">
        <v>2011年</v>
      </c>
      <c r="F105" s="55" t="str">
        <v>2012年</v>
      </c>
      <c r="G105" s="55" t="str">
        <v>2013年</v>
      </c>
      <c r="H105" s="55" t="str">
        <v>2014年</v>
      </c>
      <c r="I105" s="55" t="str">
        <v>2015年</v>
      </c>
      <c r="J105" s="55" t="str">
        <v>2016年</v>
      </c>
      <c r="K105" s="55" t="str">
        <v>2017年</v>
      </c>
      <c r="L105" s="55" t="str">
        <v>2018年</v>
      </c>
      <c r="M105" s="55" t="str">
        <v>2019年</v>
      </c>
      <c r="N105" s="55" t="str">
        <v>2020年</v>
      </c>
      <c r="O105" s="55" t="str">
        <v>2021年</v>
      </c>
      <c r="P105" s="55" t="str">
        <v>2022年</v>
      </c>
      <c r="Q105" s="55" t="str">
        <v>2023年</v>
      </c>
      <c r="R105" s="55" t="str">
        <v>2024年</v>
      </c>
      <c r="S105" s="55" t="str">
        <v>2025年</v>
      </c>
    </row>
    <row r="106" ht="18" customHeight="1">
      <c r="A106" s="2"/>
      <c r="B106" s="46" t="str"/>
      <c r="C106" s="64" t="str">
        <v>收入</v>
      </c>
      <c r="D106" s="74" t="n">
        <f>IFERROR(0+(IFERROR(D39/D39,0)),"待填")</f>
        <v>0</v>
      </c>
      <c r="E106" s="74" t="n">
        <f>IFERROR(0+(IFERROR(E39/E39,0)),"待填")</f>
        <v>0</v>
      </c>
      <c r="F106" s="74" t="n">
        <f>IFERROR(0+(IFERROR(F39/F39,0)),"待填")</f>
        <v>0</v>
      </c>
      <c r="G106" s="74" t="n">
        <f>IFERROR(0+(IFERROR(G39/G39,0)),"待填")</f>
        <v>0</v>
      </c>
      <c r="H106" s="74" t="n">
        <f>IFERROR(0+(IFERROR(H39/H39,0)),"待填")</f>
        <v>0</v>
      </c>
      <c r="I106" s="74" t="n">
        <f>IFERROR(0+(IFERROR(I39/I39,0)),"待填")</f>
        <v>0</v>
      </c>
      <c r="J106" s="74" t="n">
        <f>IFERROR(0+(IFERROR(J39/J39,0)),"待填")</f>
        <v>0</v>
      </c>
      <c r="K106" s="74" t="n">
        <f>IFERROR(0+(IFERROR(K39/K39,0)),"待填")</f>
        <v>0</v>
      </c>
      <c r="L106" s="74" t="n">
        <f>IFERROR(0+(IFERROR(L39/L39,0)),"待填")</f>
        <v>0</v>
      </c>
      <c r="M106" s="74" t="n">
        <f>IFERROR(0+(IFERROR(M39/M39,0)),"待填")</f>
        <v>0</v>
      </c>
      <c r="N106" s="74" t="n">
        <f>IFERROR(0+(IFERROR(N39/N39,0)),"待填")</f>
        <v>0</v>
      </c>
      <c r="O106" s="74" t="n">
        <f>IFERROR(0+(IFERROR(O39/O39,0)),"待填")</f>
        <v>0</v>
      </c>
      <c r="P106" s="74" t="n">
        <f>IFERROR(0+(IFERROR(P39/P39,0)),"待填")</f>
        <v>0</v>
      </c>
      <c r="Q106" s="74" t="n">
        <f>IFERROR(0+(IFERROR(Q39/Q39,0)),"待填")</f>
        <v>0</v>
      </c>
      <c r="R106" s="74" t="n">
        <f>IFERROR(0+(IFERROR(R39/R39,0)),"待填")</f>
        <v>0</v>
      </c>
      <c r="S106" s="74" t="n">
        <f>IFERROR(0+(IFERROR(S39/S39,0)),"待填")</f>
        <v>0</v>
      </c>
    </row>
    <row r="107" ht="18" customHeight="1">
      <c r="A107" s="2"/>
      <c r="B107" s="46" t="str"/>
      <c r="C107" s="64" t="str">
        <v>下面各项加总</v>
      </c>
      <c r="D107" s="74" t="n">
        <f>IFERROR(0+(IFERROR(D40/D39,0)),"待填")</f>
        <v>0</v>
      </c>
      <c r="E107" s="74" t="n">
        <f>IFERROR(0+(IFERROR(E40/E39,0)),"待填")</f>
        <v>0</v>
      </c>
      <c r="F107" s="74" t="n">
        <f>IFERROR(0+(IFERROR(F40/F39,0)),"待填")</f>
        <v>0</v>
      </c>
      <c r="G107" s="74" t="n">
        <f>IFERROR(0+(IFERROR(G40/G39,0)),"待填")</f>
        <v>0</v>
      </c>
      <c r="H107" s="74" t="n">
        <f>IFERROR(0+(IFERROR(H40/H39,0)),"待填")</f>
        <v>0</v>
      </c>
      <c r="I107" s="74" t="n">
        <f>IFERROR(0+(IFERROR(I40/I39,0)),"待填")</f>
        <v>0</v>
      </c>
      <c r="J107" s="74" t="n">
        <f>IFERROR(0+(IFERROR(J40/J39,0)),"待填")</f>
        <v>0</v>
      </c>
      <c r="K107" s="74" t="n">
        <f>IFERROR(0+(IFERROR(K40/K39,0)),"待填")</f>
        <v>0</v>
      </c>
      <c r="L107" s="74" t="n">
        <f>IFERROR(0+(IFERROR(L40/L39,0)),"待填")</f>
        <v>0</v>
      </c>
      <c r="M107" s="74" t="n">
        <f>IFERROR(0+(IFERROR(M40/M39,0)),"待填")</f>
        <v>0</v>
      </c>
      <c r="N107" s="74" t="n">
        <f>IFERROR(0+(IFERROR(N40/N39,0)),"待填")</f>
        <v>0</v>
      </c>
      <c r="O107" s="74" t="n">
        <f>IFERROR(0+(IFERROR(O40/O39,0)),"待填")</f>
        <v>0</v>
      </c>
      <c r="P107" s="74" t="n">
        <f>IFERROR(0+(IFERROR(P40/P39,0)),"待填")</f>
        <v>0</v>
      </c>
      <c r="Q107" s="74" t="n">
        <f>IFERROR(0+(IFERROR(Q40/Q39,0)),"待填")</f>
        <v>0</v>
      </c>
      <c r="R107" s="74" t="n">
        <f>IFERROR(0+(IFERROR(R40/R39,0)),"待填")</f>
        <v>0</v>
      </c>
      <c r="S107" s="74" t="n">
        <f>IFERROR(0+(IFERROR(S40/S39,0)),"待填")</f>
        <v>0</v>
      </c>
    </row>
    <row r="108" ht="18" customHeight="1">
      <c r="A108" s="2"/>
      <c r="B108" s="46" t="str"/>
      <c r="C108" s="59" t="str">
        <v>经营损失</v>
      </c>
      <c r="D108" s="74" t="n">
        <f>IFERROR(0+(IFERROR(D41/D39,0)),"待填")</f>
        <v>0</v>
      </c>
      <c r="E108" s="74" t="n">
        <f>IFERROR(0+(IFERROR(E41/E39,0)),"待填")</f>
        <v>0</v>
      </c>
      <c r="F108" s="74" t="n">
        <f>IFERROR(0+(IFERROR(F41/F39,0)),"待填")</f>
        <v>0</v>
      </c>
      <c r="G108" s="74" t="n">
        <f>IFERROR(0+(IFERROR(G41/G39,0)),"待填")</f>
        <v>0</v>
      </c>
      <c r="H108" s="74" t="n">
        <f>IFERROR(0+(IFERROR(H41/H39,0)),"待填")</f>
        <v>0</v>
      </c>
      <c r="I108" s="74" t="n">
        <f>IFERROR(0+(IFERROR(I41/I39,0)),"待填")</f>
        <v>0</v>
      </c>
      <c r="J108" s="74" t="n">
        <f>IFERROR(0+(IFERROR(J41/J39,0)),"待填")</f>
        <v>0</v>
      </c>
      <c r="K108" s="74" t="n">
        <f>IFERROR(0+(IFERROR(K41/K39,0)),"待填")</f>
        <v>0</v>
      </c>
      <c r="L108" s="74" t="n">
        <f>IFERROR(0+(IFERROR(L41/L39,0)),"待填")</f>
        <v>0</v>
      </c>
      <c r="M108" s="74" t="n">
        <f>IFERROR(0+(IFERROR(M41/M39,0)),"待填")</f>
        <v>0</v>
      </c>
      <c r="N108" s="74" t="n">
        <f>IFERROR(0+(IFERROR(N41/N39,0)),"待填")</f>
        <v>0</v>
      </c>
      <c r="O108" s="74" t="n">
        <f>IFERROR(0+(IFERROR(O41/O39,0)),"待填")</f>
        <v>0</v>
      </c>
      <c r="P108" s="74" t="n">
        <f>IFERROR(0+(IFERROR(P41/P39,0)),"待填")</f>
        <v>0</v>
      </c>
      <c r="Q108" s="74" t="n">
        <f>IFERROR(0+(IFERROR(Q41/Q39,0)),"待填")</f>
        <v>0</v>
      </c>
      <c r="R108" s="74" t="n">
        <f>IFERROR(0+(IFERROR(R41/R39,0)),"待填")</f>
        <v>0</v>
      </c>
      <c r="S108" s="74" t="n">
        <f>IFERROR(0+(IFERROR(S41/S39,0)),"待填")</f>
        <v>0</v>
      </c>
    </row>
    <row r="109" ht="18" customHeight="1">
      <c r="A109" s="2"/>
      <c r="B109" s="46" t="str"/>
      <c r="C109" s="2" t="str">
        <v>—其他收益</v>
      </c>
      <c r="D109" s="61" t="n">
        <f>IFERROR(0+(IFERROR(D42/D39,0)),"待填")</f>
        <v>0</v>
      </c>
      <c r="E109" s="61" t="n">
        <f>IFERROR(0+(IFERROR(E42/E39,0)),"待填")</f>
        <v>0</v>
      </c>
      <c r="F109" s="61" t="n">
        <f>IFERROR(0+(IFERROR(F42/F39,0)),"待填")</f>
        <v>0</v>
      </c>
      <c r="G109" s="61" t="n">
        <f>IFERROR(0+(IFERROR(G42/G39,0)),"待填")</f>
        <v>0</v>
      </c>
      <c r="H109" s="61" t="n">
        <f>IFERROR(0+(IFERROR(H42/H39,0)),"待填")</f>
        <v>0</v>
      </c>
      <c r="I109" s="61" t="n">
        <f>IFERROR(0+(IFERROR(I42/I39,0)),"待填")</f>
        <v>0</v>
      </c>
      <c r="J109" s="61" t="n">
        <f>IFERROR(0+(IFERROR(J42/J39,0)),"待填")</f>
        <v>0</v>
      </c>
      <c r="K109" s="61" t="n">
        <f>IFERROR(0+(IFERROR(K42/K39,0)),"待填")</f>
        <v>0</v>
      </c>
      <c r="L109" s="61" t="n">
        <f>IFERROR(0+(IFERROR(L42/L39,0)),"待填")</f>
        <v>0</v>
      </c>
      <c r="M109" s="61" t="n">
        <f>IFERROR(0+(IFERROR(M42/M39,0)),"待填")</f>
        <v>0</v>
      </c>
      <c r="N109" s="61" t="n">
        <f>IFERROR(0+(IFERROR(N42/N39,0)),"待填")</f>
        <v>0</v>
      </c>
      <c r="O109" s="61" t="n">
        <f>IFERROR(0+(IFERROR(O42/O39,0)),"待填")</f>
        <v>0</v>
      </c>
      <c r="P109" s="61" t="n">
        <f>IFERROR(0+(IFERROR(P42/P39,0)),"待填")</f>
        <v>0</v>
      </c>
      <c r="Q109" s="61" t="n">
        <f>IFERROR(0+(IFERROR(Q42/Q39,0)),"待填")</f>
        <v>0</v>
      </c>
      <c r="R109" s="61" t="n">
        <f>IFERROR(0+(IFERROR(R42/R39,0)),"待填")</f>
        <v>0</v>
      </c>
      <c r="S109" s="61" t="n">
        <f>IFERROR(0+(IFERROR(S42/S39,0)),"待填")</f>
        <v>0</v>
      </c>
    </row>
    <row r="110" ht="18" customHeight="1">
      <c r="A110" s="2"/>
      <c r="B110" s="46" t="str"/>
      <c r="C110" s="2" t="str">
        <v>—投资收益</v>
      </c>
      <c r="D110" s="61" t="n">
        <f>IFERROR(0+(IFERROR(D43/D39,0)),"待填")</f>
        <v>0</v>
      </c>
      <c r="E110" s="61" t="n">
        <f>IFERROR(0+(IFERROR(E43/E39,0)),"待填")</f>
        <v>0</v>
      </c>
      <c r="F110" s="61" t="n">
        <f>IFERROR(0+(IFERROR(F43/F39,0)),"待填")</f>
        <v>0</v>
      </c>
      <c r="G110" s="61" t="n">
        <f>IFERROR(0+(IFERROR(G43/G39,0)),"待填")</f>
        <v>0</v>
      </c>
      <c r="H110" s="61" t="n">
        <f>IFERROR(0+(IFERROR(H43/H39,0)),"待填")</f>
        <v>0</v>
      </c>
      <c r="I110" s="61" t="n">
        <f>IFERROR(0+(IFERROR(I43/I39,0)),"待填")</f>
        <v>0</v>
      </c>
      <c r="J110" s="61" t="n">
        <f>IFERROR(0+(IFERROR(J43/J39,0)),"待填")</f>
        <v>0</v>
      </c>
      <c r="K110" s="61" t="n">
        <f>IFERROR(0+(IFERROR(K43/K39,0)),"待填")</f>
        <v>0</v>
      </c>
      <c r="L110" s="61" t="n">
        <f>IFERROR(0+(IFERROR(L43/L39,0)),"待填")</f>
        <v>0</v>
      </c>
      <c r="M110" s="61" t="n">
        <f>IFERROR(0+(IFERROR(M43/M39,0)),"待填")</f>
        <v>0</v>
      </c>
      <c r="N110" s="61" t="n">
        <f>IFERROR(0+(IFERROR(N43/N39,0)),"待填")</f>
        <v>0</v>
      </c>
      <c r="O110" s="61" t="n">
        <f>IFERROR(0+(IFERROR(O43/O39,0)),"待填")</f>
        <v>0</v>
      </c>
      <c r="P110" s="61" t="n">
        <f>IFERROR(0+(IFERROR(P43/P39,0)),"待填")</f>
        <v>0</v>
      </c>
      <c r="Q110" s="61" t="n">
        <f>IFERROR(0+(IFERROR(Q43/Q39,0)),"待填")</f>
        <v>0</v>
      </c>
      <c r="R110" s="61" t="n">
        <f>IFERROR(0+(IFERROR(R43/R39,0)),"待填")</f>
        <v>0</v>
      </c>
      <c r="S110" s="61" t="n">
        <f>IFERROR(0+(IFERROR(S43/S39,0)),"待填")</f>
        <v>0</v>
      </c>
    </row>
    <row r="111" ht="18" customHeight="1">
      <c r="A111" s="2"/>
      <c r="B111" s="46" t="str"/>
      <c r="C111" s="2" t="str">
        <v>—公允价值变动收益</v>
      </c>
      <c r="D111" s="61" t="n">
        <f>IFERROR(0+(IFERROR(D44/D39,0)),"待填")</f>
        <v>0</v>
      </c>
      <c r="E111" s="61" t="n">
        <f>IFERROR(0+(IFERROR(E44/E39,0)),"待填")</f>
        <v>0</v>
      </c>
      <c r="F111" s="61" t="n">
        <f>IFERROR(0+(IFERROR(F44/F39,0)),"待填")</f>
        <v>0</v>
      </c>
      <c r="G111" s="61" t="n">
        <f>IFERROR(0+(IFERROR(G44/G39,0)),"待填")</f>
        <v>0</v>
      </c>
      <c r="H111" s="61" t="n">
        <f>IFERROR(0+(IFERROR(H44/H39,0)),"待填")</f>
        <v>0</v>
      </c>
      <c r="I111" s="61" t="n">
        <f>IFERROR(0+(IFERROR(I44/I39,0)),"待填")</f>
        <v>0</v>
      </c>
      <c r="J111" s="61" t="n">
        <f>IFERROR(0+(IFERROR(J44/J39,0)),"待填")</f>
        <v>0</v>
      </c>
      <c r="K111" s="61" t="n">
        <f>IFERROR(0+(IFERROR(K44/K39,0)),"待填")</f>
        <v>0</v>
      </c>
      <c r="L111" s="61" t="n">
        <f>IFERROR(0+(IFERROR(L44/L39,0)),"待填")</f>
        <v>0</v>
      </c>
      <c r="M111" s="61" t="n">
        <f>IFERROR(0+(IFERROR(M44/M39,0)),"待填")</f>
        <v>0</v>
      </c>
      <c r="N111" s="61" t="n">
        <f>IFERROR(0+(IFERROR(N44/N39,0)),"待填")</f>
        <v>0</v>
      </c>
      <c r="O111" s="61" t="n">
        <f>IFERROR(0+(IFERROR(O44/O39,0)),"待填")</f>
        <v>0</v>
      </c>
      <c r="P111" s="61" t="n">
        <f>IFERROR(0+(IFERROR(P44/P39,0)),"待填")</f>
        <v>0</v>
      </c>
      <c r="Q111" s="61" t="n">
        <f>IFERROR(0+(IFERROR(Q44/Q39,0)),"待填")</f>
        <v>0</v>
      </c>
      <c r="R111" s="61" t="n">
        <f>IFERROR(0+(IFERROR(R44/R39,0)),"待填")</f>
        <v>0</v>
      </c>
      <c r="S111" s="61" t="n">
        <f>IFERROR(0+(IFERROR(S44/S39,0)),"待填")</f>
        <v>0</v>
      </c>
    </row>
    <row r="112" ht="18" customHeight="1">
      <c r="A112" s="2"/>
      <c r="B112" s="46" t="str"/>
      <c r="C112" s="2" t="str">
        <v>—信用减值损失</v>
      </c>
      <c r="D112" s="61" t="n">
        <f>IFERROR(0+(IFERROR(D45/D39,0)),"待填")</f>
        <v>0</v>
      </c>
      <c r="E112" s="61" t="n">
        <f>IFERROR(0+(IFERROR(E45/E39,0)),"待填")</f>
        <v>0</v>
      </c>
      <c r="F112" s="61" t="n">
        <f>IFERROR(0+(IFERROR(F45/F39,0)),"待填")</f>
        <v>0</v>
      </c>
      <c r="G112" s="61" t="n">
        <f>IFERROR(0+(IFERROR(G45/G39,0)),"待填")</f>
        <v>0</v>
      </c>
      <c r="H112" s="61" t="n">
        <f>IFERROR(0+(IFERROR(H45/H39,0)),"待填")</f>
        <v>0</v>
      </c>
      <c r="I112" s="61" t="n">
        <f>IFERROR(0+(IFERROR(I45/I39,0)),"待填")</f>
        <v>0</v>
      </c>
      <c r="J112" s="61" t="n">
        <f>IFERROR(0+(IFERROR(J45/J39,0)),"待填")</f>
        <v>0</v>
      </c>
      <c r="K112" s="61" t="n">
        <f>IFERROR(0+(IFERROR(K45/K39,0)),"待填")</f>
        <v>0</v>
      </c>
      <c r="L112" s="61" t="n">
        <f>IFERROR(0+(IFERROR(L45/L39,0)),"待填")</f>
        <v>0</v>
      </c>
      <c r="M112" s="61" t="n">
        <f>IFERROR(0+(IFERROR(M45/M39,0)),"待填")</f>
        <v>0</v>
      </c>
      <c r="N112" s="61" t="n">
        <f>IFERROR(0+(IFERROR(N45/N39,0)),"待填")</f>
        <v>0</v>
      </c>
      <c r="O112" s="61" t="n">
        <f>IFERROR(0+(IFERROR(O45/O39,0)),"待填")</f>
        <v>0</v>
      </c>
      <c r="P112" s="61" t="n">
        <f>IFERROR(0+(IFERROR(P45/P39,0)),"待填")</f>
        <v>0</v>
      </c>
      <c r="Q112" s="61" t="n">
        <f>IFERROR(0+(IFERROR(Q45/Q39,0)),"待填")</f>
        <v>0</v>
      </c>
      <c r="R112" s="61" t="n">
        <f>IFERROR(0+(IFERROR(R45/R39,0)),"待填")</f>
        <v>0</v>
      </c>
      <c r="S112" s="61" t="n">
        <f>IFERROR(0+(IFERROR(S45/S39,0)),"待填")</f>
        <v>0</v>
      </c>
    </row>
    <row r="113" ht="18" customHeight="1">
      <c r="A113" s="2"/>
      <c r="B113" s="46" t="str"/>
      <c r="C113" s="2" t="str">
        <v>—资产减值损失</v>
      </c>
      <c r="D113" s="61" t="n">
        <f>IFERROR(0+(IFERROR(D46/D39,0)),"待填")</f>
        <v>0</v>
      </c>
      <c r="E113" s="61" t="n">
        <f>IFERROR(0+(IFERROR(E46/E39,0)),"待填")</f>
        <v>0</v>
      </c>
      <c r="F113" s="61" t="n">
        <f>IFERROR(0+(IFERROR(F46/F39,0)),"待填")</f>
        <v>0</v>
      </c>
      <c r="G113" s="61" t="n">
        <f>IFERROR(0+(IFERROR(G46/G39,0)),"待填")</f>
        <v>0</v>
      </c>
      <c r="H113" s="61" t="n">
        <f>IFERROR(0+(IFERROR(H46/H39,0)),"待填")</f>
        <v>0</v>
      </c>
      <c r="I113" s="61" t="n">
        <f>IFERROR(0+(IFERROR(I46/I39,0)),"待填")</f>
        <v>0</v>
      </c>
      <c r="J113" s="61" t="n">
        <f>IFERROR(0+(IFERROR(J46/J39,0)),"待填")</f>
        <v>0</v>
      </c>
      <c r="K113" s="61" t="n">
        <f>IFERROR(0+(IFERROR(K46/K39,0)),"待填")</f>
        <v>0</v>
      </c>
      <c r="L113" s="61" t="n">
        <f>IFERROR(0+(IFERROR(L46/L39,0)),"待填")</f>
        <v>0</v>
      </c>
      <c r="M113" s="61" t="n">
        <f>IFERROR(0+(IFERROR(M46/M39,0)),"待填")</f>
        <v>0</v>
      </c>
      <c r="N113" s="61" t="n">
        <f>IFERROR(0+(IFERROR(N46/N39,0)),"待填")</f>
        <v>0</v>
      </c>
      <c r="O113" s="61" t="n">
        <f>IFERROR(0+(IFERROR(O46/O39,0)),"待填")</f>
        <v>0</v>
      </c>
      <c r="P113" s="61" t="n">
        <f>IFERROR(0+(IFERROR(P46/P39,0)),"待填")</f>
        <v>0</v>
      </c>
      <c r="Q113" s="61" t="n">
        <f>IFERROR(0+(IFERROR(Q46/Q39,0)),"待填")</f>
        <v>0</v>
      </c>
      <c r="R113" s="61" t="n">
        <f>IFERROR(0+(IFERROR(R46/R39,0)),"待填")</f>
        <v>0</v>
      </c>
      <c r="S113" s="61" t="n">
        <f>IFERROR(0+(IFERROR(S46/S39,0)),"待填")</f>
        <v>0</v>
      </c>
    </row>
    <row r="114" ht="18" customHeight="1">
      <c r="A114" s="2"/>
      <c r="B114" s="46" t="str"/>
      <c r="C114" s="2" t="str">
        <v>—资产处置收益</v>
      </c>
      <c r="D114" s="61" t="n">
        <f>IFERROR(0+(IFERROR(D47/D39,0)),"待填")</f>
        <v>0</v>
      </c>
      <c r="E114" s="61" t="n">
        <f>IFERROR(0+(IFERROR(E47/E39,0)),"待填")</f>
        <v>0</v>
      </c>
      <c r="F114" s="61" t="n">
        <f>IFERROR(0+(IFERROR(F47/F39,0)),"待填")</f>
        <v>0</v>
      </c>
      <c r="G114" s="61" t="n">
        <f>IFERROR(0+(IFERROR(G47/G39,0)),"待填")</f>
        <v>0</v>
      </c>
      <c r="H114" s="61" t="n">
        <f>IFERROR(0+(IFERROR(H47/H39,0)),"待填")</f>
        <v>0</v>
      </c>
      <c r="I114" s="61" t="n">
        <f>IFERROR(0+(IFERROR(I47/I39,0)),"待填")</f>
        <v>0</v>
      </c>
      <c r="J114" s="61" t="n">
        <f>IFERROR(0+(IFERROR(J47/J39,0)),"待填")</f>
        <v>0</v>
      </c>
      <c r="K114" s="61" t="n">
        <f>IFERROR(0+(IFERROR(K47/K39,0)),"待填")</f>
        <v>0</v>
      </c>
      <c r="L114" s="61" t="n">
        <f>IFERROR(0+(IFERROR(L47/L39,0)),"待填")</f>
        <v>0</v>
      </c>
      <c r="M114" s="61" t="n">
        <f>IFERROR(0+(IFERROR(M47/M39,0)),"待填")</f>
        <v>0</v>
      </c>
      <c r="N114" s="61" t="n">
        <f>IFERROR(0+(IFERROR(N47/N39,0)),"待填")</f>
        <v>0</v>
      </c>
      <c r="O114" s="61" t="n">
        <f>IFERROR(0+(IFERROR(O47/O39,0)),"待填")</f>
        <v>0</v>
      </c>
      <c r="P114" s="61" t="n">
        <f>IFERROR(0+(IFERROR(P47/P39,0)),"待填")</f>
        <v>0</v>
      </c>
      <c r="Q114" s="61" t="n">
        <f>IFERROR(0+(IFERROR(Q47/Q39,0)),"待填")</f>
        <v>0</v>
      </c>
      <c r="R114" s="61" t="n">
        <f>IFERROR(0+(IFERROR(R47/R39,0)),"待填")</f>
        <v>0</v>
      </c>
      <c r="S114" s="61" t="n">
        <f>IFERROR(0+(IFERROR(S47/S39,0)),"待填")</f>
        <v>0</v>
      </c>
    </row>
    <row r="115" ht="18" customHeight="1">
      <c r="A115" s="2"/>
      <c r="B115" s="46" t="str"/>
      <c r="C115" s="59" t="str">
        <v>非经营损失</v>
      </c>
      <c r="D115" s="74" t="n">
        <f>IFERROR(0+(IFERROR(D48/D39,0)),"待填")</f>
        <v>0</v>
      </c>
      <c r="E115" s="74" t="n">
        <f>IFERROR(0+(IFERROR(E48/E39,0)),"待填")</f>
        <v>0</v>
      </c>
      <c r="F115" s="74" t="n">
        <f>IFERROR(0+(IFERROR(F48/F39,0)),"待填")</f>
        <v>0</v>
      </c>
      <c r="G115" s="74" t="n">
        <f>IFERROR(0+(IFERROR(G48/G39,0)),"待填")</f>
        <v>0</v>
      </c>
      <c r="H115" s="74" t="n">
        <f>IFERROR(0+(IFERROR(H48/H39,0)),"待填")</f>
        <v>0</v>
      </c>
      <c r="I115" s="74" t="n">
        <f>IFERROR(0+(IFERROR(I48/I39,0)),"待填")</f>
        <v>0</v>
      </c>
      <c r="J115" s="74" t="n">
        <f>IFERROR(0+(IFERROR(J48/J39,0)),"待填")</f>
        <v>0</v>
      </c>
      <c r="K115" s="74" t="n">
        <f>IFERROR(0+(IFERROR(K48/K39,0)),"待填")</f>
        <v>0</v>
      </c>
      <c r="L115" s="74" t="n">
        <f>IFERROR(0+(IFERROR(L48/L39,0)),"待填")</f>
        <v>0</v>
      </c>
      <c r="M115" s="74" t="n">
        <f>IFERROR(0+(IFERROR(M48/M39,0)),"待填")</f>
        <v>0</v>
      </c>
      <c r="N115" s="74" t="n">
        <f>IFERROR(0+(IFERROR(N48/N39,0)),"待填")</f>
        <v>0</v>
      </c>
      <c r="O115" s="74" t="n">
        <f>IFERROR(0+(IFERROR(O48/O39,0)),"待填")</f>
        <v>0</v>
      </c>
      <c r="P115" s="74" t="n">
        <f>IFERROR(0+(IFERROR(P48/P39,0)),"待填")</f>
        <v>0</v>
      </c>
      <c r="Q115" s="74" t="n">
        <f>IFERROR(0+(IFERROR(Q48/Q39,0)),"待填")</f>
        <v>0</v>
      </c>
      <c r="R115" s="74" t="n">
        <f>IFERROR(0+(IFERROR(R48/R39,0)),"待填")</f>
        <v>0</v>
      </c>
      <c r="S115" s="74" t="n">
        <f>IFERROR(0+(IFERROR(S48/S39,0)),"待填")</f>
        <v>0</v>
      </c>
    </row>
    <row r="116" ht="18" customHeight="1">
      <c r="A116" s="2"/>
      <c r="B116" s="46" t="str"/>
      <c r="C116" s="59" t="str">
        <v>业务费用（给广泛第三方的钱）</v>
      </c>
      <c r="D116" s="74" t="n">
        <f>IFERROR(0+(IFERROR(D49/D39,0)),"待填")</f>
        <v>0</v>
      </c>
      <c r="E116" s="74" t="n">
        <f>IFERROR(0+(IFERROR(E49/E39,0)),"待填")</f>
        <v>0</v>
      </c>
      <c r="F116" s="74" t="n">
        <f>IFERROR(0+(IFERROR(F49/F39,0)),"待填")</f>
        <v>0</v>
      </c>
      <c r="G116" s="74" t="n">
        <f>IFERROR(0+(IFERROR(G49/G39,0)),"待填")</f>
        <v>0</v>
      </c>
      <c r="H116" s="74" t="n">
        <f>IFERROR(0+(IFERROR(H49/H39,0)),"待填")</f>
        <v>0</v>
      </c>
      <c r="I116" s="74" t="n">
        <f>IFERROR(0+(IFERROR(I49/I39,0)),"待填")</f>
        <v>0</v>
      </c>
      <c r="J116" s="74" t="n">
        <f>IFERROR(0+(IFERROR(J49/J39,0)),"待填")</f>
        <v>0</v>
      </c>
      <c r="K116" s="74" t="n">
        <f>IFERROR(0+(IFERROR(K49/K39,0)),"待填")</f>
        <v>0</v>
      </c>
      <c r="L116" s="74" t="n">
        <f>IFERROR(0+(IFERROR(L49/L39,0)),"待填")</f>
        <v>0</v>
      </c>
      <c r="M116" s="74" t="n">
        <f>IFERROR(0+(IFERROR(M49/M39,0)),"待填")</f>
        <v>0</v>
      </c>
      <c r="N116" s="74" t="n">
        <f>IFERROR(0+(IFERROR(N49/N39,0)),"待填")</f>
        <v>0</v>
      </c>
      <c r="O116" s="74" t="n">
        <f>IFERROR(0+(IFERROR(O49/O39,0)),"待填")</f>
        <v>0</v>
      </c>
      <c r="P116" s="74" t="n">
        <f>IFERROR(0+(IFERROR(P49/P39,0)),"待填")</f>
        <v>0</v>
      </c>
      <c r="Q116" s="74" t="n">
        <f>IFERROR(0+(IFERROR(Q49/Q39,0)),"待填")</f>
        <v>0</v>
      </c>
      <c r="R116" s="74" t="n">
        <f>IFERROR(0+(IFERROR(R49/R39,0)),"待填")</f>
        <v>0</v>
      </c>
      <c r="S116" s="74" t="n">
        <f>IFERROR(0+(IFERROR(S49/S39,0)),"待填")</f>
        <v>0</v>
      </c>
    </row>
    <row r="117" ht="18" customHeight="1">
      <c r="A117" s="2"/>
      <c r="B117" s="46" t="str"/>
      <c r="C117" s="38" t="str">
        <v>销售相关费用</v>
      </c>
      <c r="D117" s="76" t="n">
        <f>IFERROR(0+(IFERROR(D50/D39,0)),"待填")</f>
        <v>0</v>
      </c>
      <c r="E117" s="76" t="n">
        <f>IFERROR(0+(IFERROR(E50/E39,0)),"待填")</f>
        <v>0</v>
      </c>
      <c r="F117" s="76" t="n">
        <f>IFERROR(0+(IFERROR(F50/F39,0)),"待填")</f>
        <v>0</v>
      </c>
      <c r="G117" s="76" t="n">
        <f>IFERROR(0+(IFERROR(G50/G39,0)),"待填")</f>
        <v>0</v>
      </c>
      <c r="H117" s="76" t="n">
        <f>IFERROR(0+(IFERROR(H50/H39,0)),"待填")</f>
        <v>0</v>
      </c>
      <c r="I117" s="76" t="n">
        <f>IFERROR(0+(IFERROR(I50/I39,0)),"待填")</f>
        <v>0</v>
      </c>
      <c r="J117" s="76" t="n">
        <f>IFERROR(0+(IFERROR(J50/J39,0)),"待填")</f>
        <v>0</v>
      </c>
      <c r="K117" s="76" t="n">
        <f>IFERROR(0+(IFERROR(K50/K39,0)),"待填")</f>
        <v>0</v>
      </c>
      <c r="L117" s="76" t="n">
        <f>IFERROR(0+(IFERROR(L50/L39,0)),"待填")</f>
        <v>0</v>
      </c>
      <c r="M117" s="76" t="n">
        <f>IFERROR(0+(IFERROR(M50/M39,0)),"待填")</f>
        <v>0</v>
      </c>
      <c r="N117" s="76" t="n">
        <f>IFERROR(0+(IFERROR(N50/N39,0)),"待填")</f>
        <v>0</v>
      </c>
      <c r="O117" s="76" t="n">
        <f>IFERROR(0+(IFERROR(O50/O39,0)),"待填")</f>
        <v>0</v>
      </c>
      <c r="P117" s="76" t="n">
        <f>IFERROR(0+(IFERROR(P50/P39,0)),"待填")</f>
        <v>0</v>
      </c>
      <c r="Q117" s="76" t="n">
        <f>IFERROR(0+(IFERROR(Q50/Q39,0)),"待填")</f>
        <v>0</v>
      </c>
      <c r="R117" s="76" t="n">
        <f>IFERROR(0+(IFERROR(R50/R39,0)),"待填")</f>
        <v>0</v>
      </c>
      <c r="S117" s="76" t="n">
        <f>IFERROR(0+(IFERROR(S50/S39,0)),"待填")</f>
        <v>0</v>
      </c>
    </row>
    <row r="118" ht="18" customHeight="1">
      <c r="A118" s="2"/>
      <c r="B118" s="46" t="str"/>
      <c r="C118" s="59" t="str">
        <v>售后服务费（给客户预备的钱，原隶属于销售费用）</v>
      </c>
      <c r="D118" s="74" t="n">
        <f>IFERROR(0+(IFERROR(D51/D39,0)),"待填")</f>
        <v>0</v>
      </c>
      <c r="E118" s="74" t="n">
        <f>IFERROR(0+(IFERROR(E51/E39,0)),"待填")</f>
        <v>0</v>
      </c>
      <c r="F118" s="74" t="n">
        <f>IFERROR(0+(IFERROR(F51/F39,0)),"待填")</f>
        <v>0</v>
      </c>
      <c r="G118" s="74" t="n">
        <f>IFERROR(0+(IFERROR(G51/G39,0)),"待填")</f>
        <v>0</v>
      </c>
      <c r="H118" s="74" t="n">
        <f>IFERROR(0+(IFERROR(H51/H39,0)),"待填")</f>
        <v>0</v>
      </c>
      <c r="I118" s="74" t="n">
        <f>IFERROR(0+(IFERROR(I51/I39,0)),"待填")</f>
        <v>0</v>
      </c>
      <c r="J118" s="74" t="n">
        <f>IFERROR(0+(IFERROR(J51/J39,0)),"待填")</f>
        <v>0</v>
      </c>
      <c r="K118" s="74" t="n">
        <f>IFERROR(0+(IFERROR(K51/K39,0)),"待填")</f>
        <v>0</v>
      </c>
      <c r="L118" s="74" t="n">
        <f>IFERROR(0+(IFERROR(L51/L39,0)),"待填")</f>
        <v>0</v>
      </c>
      <c r="M118" s="74" t="n">
        <f>IFERROR(0+(IFERROR(M51/M39,0)),"待填")</f>
        <v>0</v>
      </c>
      <c r="N118" s="74" t="n">
        <f>IFERROR(0+(IFERROR(N51/N39,0)),"待填")</f>
        <v>0</v>
      </c>
      <c r="O118" s="74" t="n">
        <f>IFERROR(0+(IFERROR(O51/O39,0)),"待填")</f>
        <v>0</v>
      </c>
      <c r="P118" s="74" t="n">
        <f>IFERROR(0+(IFERROR(P51/P39,0)),"待填")</f>
        <v>0</v>
      </c>
      <c r="Q118" s="74" t="n">
        <f>IFERROR(0+(IFERROR(Q51/Q39,0)),"待填")</f>
        <v>0</v>
      </c>
      <c r="R118" s="74" t="n">
        <f>IFERROR(0+(IFERROR(R51/R39,0)),"待填")</f>
        <v>0</v>
      </c>
      <c r="S118" s="74" t="n">
        <f>IFERROR(0+(IFERROR(S51/S39,0)),"待填")</f>
        <v>0</v>
      </c>
    </row>
    <row r="119" ht="18" customHeight="1">
      <c r="A119" s="2"/>
      <c r="B119" s="46" t="str"/>
      <c r="C119" s="2" t="str">
        <v>—运杂仓储费</v>
      </c>
      <c r="D119" s="61" t="n">
        <f>IFERROR(0+(IFERROR(D52/D39,0)),"待填")</f>
        <v>0</v>
      </c>
      <c r="E119" s="61" t="n">
        <f>IFERROR(0+(IFERROR(E52/E39,0)),"待填")</f>
        <v>0</v>
      </c>
      <c r="F119" s="61" t="n">
        <f>IFERROR(0+(IFERROR(F52/F39,0)),"待填")</f>
        <v>0</v>
      </c>
      <c r="G119" s="61" t="n">
        <f>IFERROR(0+(IFERROR(G52/G39,0)),"待填")</f>
        <v>0</v>
      </c>
      <c r="H119" s="61" t="n">
        <f>IFERROR(0+(IFERROR(H52/H39,0)),"待填")</f>
        <v>0</v>
      </c>
      <c r="I119" s="61" t="n">
        <f>IFERROR(0+(IFERROR(I52/I39,0)),"待填")</f>
        <v>0</v>
      </c>
      <c r="J119" s="61" t="n">
        <f>IFERROR(0+(IFERROR(J52/J39,0)),"待填")</f>
        <v>0</v>
      </c>
      <c r="K119" s="61" t="n">
        <f>IFERROR(0+(IFERROR(K52/K39,0)),"待填")</f>
        <v>0</v>
      </c>
      <c r="L119" s="61" t="n">
        <f>IFERROR(0+(IFERROR(L52/L39,0)),"待填")</f>
        <v>0</v>
      </c>
      <c r="M119" s="61" t="n">
        <f>IFERROR(0+(IFERROR(M52/M39,0)),"待填")</f>
        <v>0</v>
      </c>
      <c r="N119" s="61" t="n">
        <f>IFERROR(0+(IFERROR(N52/N39,0)),"待填")</f>
        <v>0</v>
      </c>
      <c r="O119" s="61" t="n">
        <f>IFERROR(0+(IFERROR(O52/O39,0)),"待填")</f>
        <v>0</v>
      </c>
      <c r="P119" s="61" t="n">
        <f>IFERROR(0+(IFERROR(P52/P39,0)),"待填")</f>
        <v>0</v>
      </c>
      <c r="Q119" s="61" t="n">
        <f>IFERROR(0+(IFERROR(Q52/Q39,0)),"待填")</f>
        <v>0</v>
      </c>
      <c r="R119" s="61" t="n">
        <f>IFERROR(0+(IFERROR(R52/R39,0)),"待填")</f>
        <v>0</v>
      </c>
      <c r="S119" s="61" t="n">
        <f>IFERROR(0+(IFERROR(S52/S39,0)),"待填")</f>
        <v>0</v>
      </c>
    </row>
    <row r="120" ht="18" customHeight="1">
      <c r="A120" s="2"/>
      <c r="B120" s="46" t="str"/>
      <c r="C120" s="2" t="str">
        <v>—代理手续费</v>
      </c>
      <c r="D120" s="61" t="n">
        <f>IFERROR(0+(IFERROR(D53/D39,0)),"待填")</f>
        <v>0</v>
      </c>
      <c r="E120" s="61" t="n">
        <f>IFERROR(0+(IFERROR(E53/E39,0)),"待填")</f>
        <v>0</v>
      </c>
      <c r="F120" s="61" t="n">
        <f>IFERROR(0+(IFERROR(F53/F39,0)),"待填")</f>
        <v>0</v>
      </c>
      <c r="G120" s="61" t="n">
        <f>IFERROR(0+(IFERROR(G53/G39,0)),"待填")</f>
        <v>0</v>
      </c>
      <c r="H120" s="61" t="n">
        <f>IFERROR(0+(IFERROR(H53/H39,0)),"待填")</f>
        <v>0</v>
      </c>
      <c r="I120" s="61" t="n">
        <f>IFERROR(0+(IFERROR(I53/I39,0)),"待填")</f>
        <v>0</v>
      </c>
      <c r="J120" s="61" t="n">
        <f>IFERROR(0+(IFERROR(J53/J39,0)),"待填")</f>
        <v>0</v>
      </c>
      <c r="K120" s="61" t="n">
        <f>IFERROR(0+(IFERROR(K53/K39,0)),"待填")</f>
        <v>0</v>
      </c>
      <c r="L120" s="61" t="n">
        <f>IFERROR(0+(IFERROR(L53/L39,0)),"待填")</f>
        <v>0</v>
      </c>
      <c r="M120" s="61" t="n">
        <f>IFERROR(0+(IFERROR(M53/M39,0)),"待填")</f>
        <v>0</v>
      </c>
      <c r="N120" s="61" t="n">
        <f>IFERROR(0+(IFERROR(N53/N39,0)),"待填")</f>
        <v>0</v>
      </c>
      <c r="O120" s="61" t="n">
        <f>IFERROR(0+(IFERROR(O53/O39,0)),"待填")</f>
        <v>0</v>
      </c>
      <c r="P120" s="61" t="n">
        <f>IFERROR(0+(IFERROR(P53/P39,0)),"待填")</f>
        <v>0</v>
      </c>
      <c r="Q120" s="61" t="n">
        <f>IFERROR(0+(IFERROR(Q53/Q39,0)),"待填")</f>
        <v>0</v>
      </c>
      <c r="R120" s="61" t="n">
        <f>IFERROR(0+(IFERROR(R53/R39,0)),"待填")</f>
        <v>0</v>
      </c>
      <c r="S120" s="61" t="n">
        <f>IFERROR(0+(IFERROR(S53/S39,0)),"待填")</f>
        <v>0</v>
      </c>
    </row>
    <row r="121" ht="18" customHeight="1">
      <c r="A121" s="2"/>
      <c r="B121" s="46" t="str"/>
      <c r="C121" s="2" t="str">
        <v>—业务招待费</v>
      </c>
      <c r="D121" s="61" t="n">
        <f>IFERROR(0+(IFERROR(D54/D39,0)),"待填")</f>
        <v>0</v>
      </c>
      <c r="E121" s="61" t="n">
        <f>IFERROR(0+(IFERROR(E54/E39,0)),"待填")</f>
        <v>0</v>
      </c>
      <c r="F121" s="61" t="n">
        <f>IFERROR(0+(IFERROR(F54/F39,0)),"待填")</f>
        <v>0</v>
      </c>
      <c r="G121" s="61" t="n">
        <f>IFERROR(0+(IFERROR(G54/G39,0)),"待填")</f>
        <v>0</v>
      </c>
      <c r="H121" s="61" t="n">
        <f>IFERROR(0+(IFERROR(H54/H39,0)),"待填")</f>
        <v>0</v>
      </c>
      <c r="I121" s="61" t="n">
        <f>IFERROR(0+(IFERROR(I54/I39,0)),"待填")</f>
        <v>0</v>
      </c>
      <c r="J121" s="61" t="n">
        <f>IFERROR(0+(IFERROR(J54/J39,0)),"待填")</f>
        <v>0</v>
      </c>
      <c r="K121" s="61" t="n">
        <f>IFERROR(0+(IFERROR(K54/K39,0)),"待填")</f>
        <v>0</v>
      </c>
      <c r="L121" s="61" t="n">
        <f>IFERROR(0+(IFERROR(L54/L39,0)),"待填")</f>
        <v>0</v>
      </c>
      <c r="M121" s="61" t="n">
        <f>IFERROR(0+(IFERROR(M54/M39,0)),"待填")</f>
        <v>0</v>
      </c>
      <c r="N121" s="61" t="n">
        <f>IFERROR(0+(IFERROR(N54/N39,0)),"待填")</f>
        <v>0</v>
      </c>
      <c r="O121" s="61" t="n">
        <f>IFERROR(0+(IFERROR(O54/O39,0)),"待填")</f>
        <v>0</v>
      </c>
      <c r="P121" s="61" t="n">
        <f>IFERROR(0+(IFERROR(P54/P39,0)),"待填")</f>
        <v>0</v>
      </c>
      <c r="Q121" s="61" t="n">
        <f>IFERROR(0+(IFERROR(Q54/Q39,0)),"待填")</f>
        <v>0</v>
      </c>
      <c r="R121" s="61" t="n">
        <f>IFERROR(0+(IFERROR(R54/R39,0)),"待填")</f>
        <v>0</v>
      </c>
      <c r="S121" s="61" t="n">
        <f>IFERROR(0+(IFERROR(S54/S39,0)),"待填")</f>
        <v>0</v>
      </c>
    </row>
    <row r="122" ht="18" customHeight="1">
      <c r="A122" s="2"/>
      <c r="B122" s="46" t="str"/>
      <c r="C122" s="2" t="str">
        <v>—办公费</v>
      </c>
      <c r="D122" s="61" t="n">
        <f>IFERROR(0+(IFERROR(D55/D39,0)),"待填")</f>
        <v>0</v>
      </c>
      <c r="E122" s="61" t="n">
        <f>IFERROR(0+(IFERROR(E55/E39,0)),"待填")</f>
        <v>0</v>
      </c>
      <c r="F122" s="61" t="n">
        <f>IFERROR(0+(IFERROR(F55/F39,0)),"待填")</f>
        <v>0</v>
      </c>
      <c r="G122" s="61" t="n">
        <f>IFERROR(0+(IFERROR(G55/G39,0)),"待填")</f>
        <v>0</v>
      </c>
      <c r="H122" s="61" t="n">
        <f>IFERROR(0+(IFERROR(H55/H39,0)),"待填")</f>
        <v>0</v>
      </c>
      <c r="I122" s="61" t="n">
        <f>IFERROR(0+(IFERROR(I55/I39,0)),"待填")</f>
        <v>0</v>
      </c>
      <c r="J122" s="61" t="n">
        <f>IFERROR(0+(IFERROR(J55/J39,0)),"待填")</f>
        <v>0</v>
      </c>
      <c r="K122" s="61" t="n">
        <f>IFERROR(0+(IFERROR(K55/K39,0)),"待填")</f>
        <v>0</v>
      </c>
      <c r="L122" s="61" t="n">
        <f>IFERROR(0+(IFERROR(L55/L39,0)),"待填")</f>
        <v>0</v>
      </c>
      <c r="M122" s="61" t="n">
        <f>IFERROR(0+(IFERROR(M55/M39,0)),"待填")</f>
        <v>0</v>
      </c>
      <c r="N122" s="61" t="n">
        <f>IFERROR(0+(IFERROR(N55/N39,0)),"待填")</f>
        <v>0</v>
      </c>
      <c r="O122" s="61" t="n">
        <f>IFERROR(0+(IFERROR(O55/O39,0)),"待填")</f>
        <v>0</v>
      </c>
      <c r="P122" s="61" t="n">
        <f>IFERROR(0+(IFERROR(P55/P39,0)),"待填")</f>
        <v>0</v>
      </c>
      <c r="Q122" s="61" t="n">
        <f>IFERROR(0+(IFERROR(Q55/Q39,0)),"待填")</f>
        <v>0</v>
      </c>
      <c r="R122" s="61" t="n">
        <f>IFERROR(0+(IFERROR(R55/R39,0)),"待填")</f>
        <v>0</v>
      </c>
      <c r="S122" s="61" t="n">
        <f>IFERROR(0+(IFERROR(S55/S39,0)),"待填")</f>
        <v>0</v>
      </c>
    </row>
    <row r="123" ht="18" customHeight="1">
      <c r="A123" s="2"/>
      <c r="B123" s="46" t="str"/>
      <c r="C123" s="2" t="str">
        <v>—差旅费</v>
      </c>
      <c r="D123" s="61" t="n">
        <f>IFERROR(0+(IFERROR(D56/D39,0)),"待填")</f>
        <v>0</v>
      </c>
      <c r="E123" s="61" t="n">
        <f>IFERROR(0+(IFERROR(E56/E39,0)),"待填")</f>
        <v>0</v>
      </c>
      <c r="F123" s="61" t="n">
        <f>IFERROR(0+(IFERROR(F56/F39,0)),"待填")</f>
        <v>0</v>
      </c>
      <c r="G123" s="61" t="n">
        <f>IFERROR(0+(IFERROR(G56/G39,0)),"待填")</f>
        <v>0</v>
      </c>
      <c r="H123" s="61" t="n">
        <f>IFERROR(0+(IFERROR(H56/H39,0)),"待填")</f>
        <v>0</v>
      </c>
      <c r="I123" s="61" t="n">
        <f>IFERROR(0+(IFERROR(I56/I39,0)),"待填")</f>
        <v>0</v>
      </c>
      <c r="J123" s="61" t="n">
        <f>IFERROR(0+(IFERROR(J56/J39,0)),"待填")</f>
        <v>0</v>
      </c>
      <c r="K123" s="61" t="n">
        <f>IFERROR(0+(IFERROR(K56/K39,0)),"待填")</f>
        <v>0</v>
      </c>
      <c r="L123" s="61" t="n">
        <f>IFERROR(0+(IFERROR(L56/L39,0)),"待填")</f>
        <v>0</v>
      </c>
      <c r="M123" s="61" t="n">
        <f>IFERROR(0+(IFERROR(M56/M39,0)),"待填")</f>
        <v>0</v>
      </c>
      <c r="N123" s="61" t="n">
        <f>IFERROR(0+(IFERROR(N56/N39,0)),"待填")</f>
        <v>0</v>
      </c>
      <c r="O123" s="61" t="n">
        <f>IFERROR(0+(IFERROR(O56/O39,0)),"待填")</f>
        <v>0</v>
      </c>
      <c r="P123" s="61" t="n">
        <f>IFERROR(0+(IFERROR(P56/P39,0)),"待填")</f>
        <v>0</v>
      </c>
      <c r="Q123" s="61" t="n">
        <f>IFERROR(0+(IFERROR(Q56/Q39,0)),"待填")</f>
        <v>0</v>
      </c>
      <c r="R123" s="61" t="n">
        <f>IFERROR(0+(IFERROR(R56/R39,0)),"待填")</f>
        <v>0</v>
      </c>
      <c r="S123" s="61" t="n">
        <f>IFERROR(0+(IFERROR(S56/S39,0)),"待填")</f>
        <v>0</v>
      </c>
    </row>
    <row r="124" ht="18" customHeight="1">
      <c r="A124" s="2"/>
      <c r="B124" s="46" t="str"/>
      <c r="C124" s="2" t="str">
        <v>—其他</v>
      </c>
      <c r="D124" s="61" t="n">
        <f>IFERROR(0+(IFERROR(D57/D39,0)),"待填")</f>
        <v>0</v>
      </c>
      <c r="E124" s="61" t="n">
        <f>IFERROR(0+(IFERROR(E57/E39,0)),"待填")</f>
        <v>0</v>
      </c>
      <c r="F124" s="61" t="n">
        <f>IFERROR(0+(IFERROR(F57/F39,0)),"待填")</f>
        <v>0</v>
      </c>
      <c r="G124" s="61" t="n">
        <f>IFERROR(0+(IFERROR(G57/G39,0)),"待填")</f>
        <v>0</v>
      </c>
      <c r="H124" s="61" t="n">
        <f>IFERROR(0+(IFERROR(H57/H39,0)),"待填")</f>
        <v>0</v>
      </c>
      <c r="I124" s="61" t="n">
        <f>IFERROR(0+(IFERROR(I57/I39,0)),"待填")</f>
        <v>0</v>
      </c>
      <c r="J124" s="61" t="n">
        <f>IFERROR(0+(IFERROR(J57/J39,0)),"待填")</f>
        <v>0</v>
      </c>
      <c r="K124" s="61" t="n">
        <f>IFERROR(0+(IFERROR(K57/K39,0)),"待填")</f>
        <v>0</v>
      </c>
      <c r="L124" s="61" t="n">
        <f>IFERROR(0+(IFERROR(L57/L39,0)),"待填")</f>
        <v>0</v>
      </c>
      <c r="M124" s="61" t="n">
        <f>IFERROR(0+(IFERROR(M57/M39,0)),"待填")</f>
        <v>0</v>
      </c>
      <c r="N124" s="61" t="n">
        <f>IFERROR(0+(IFERROR(N57/N39,0)),"待填")</f>
        <v>0</v>
      </c>
      <c r="O124" s="61" t="n">
        <f>IFERROR(0+(IFERROR(O57/O39,0)),"待填")</f>
        <v>0</v>
      </c>
      <c r="P124" s="61" t="n">
        <f>IFERROR(0+(IFERROR(P57/P39,0)),"待填")</f>
        <v>0</v>
      </c>
      <c r="Q124" s="61" t="n">
        <f>IFERROR(0+(IFERROR(Q57/Q39,0)),"待填")</f>
        <v>0</v>
      </c>
      <c r="R124" s="61" t="n">
        <f>IFERROR(0+(IFERROR(R57/R39,0)),"待填")</f>
        <v>0</v>
      </c>
      <c r="S124" s="61" t="n">
        <f>IFERROR(0+(IFERROR(S57/S39,0)),"待填")</f>
        <v>0</v>
      </c>
    </row>
    <row r="125" ht="18" customHeight="1">
      <c r="A125" s="2"/>
      <c r="B125" s="46" t="str"/>
      <c r="C125" s="38" t="str">
        <v>管理相关费用</v>
      </c>
      <c r="D125" s="76" t="n">
        <f>IFERROR(0+(IFERROR(D58/D39,0)),"待填")</f>
        <v>0</v>
      </c>
      <c r="E125" s="76" t="n">
        <f>IFERROR(0+(IFERROR(E58/E39,0)),"待填")</f>
        <v>0</v>
      </c>
      <c r="F125" s="76" t="n">
        <f>IFERROR(0+(IFERROR(F58/F39,0)),"待填")</f>
        <v>0</v>
      </c>
      <c r="G125" s="76" t="n">
        <f>IFERROR(0+(IFERROR(G58/G39,0)),"待填")</f>
        <v>0</v>
      </c>
      <c r="H125" s="76" t="n">
        <f>IFERROR(0+(IFERROR(H58/H39,0)),"待填")</f>
        <v>0</v>
      </c>
      <c r="I125" s="76" t="n">
        <f>IFERROR(0+(IFERROR(I58/I39,0)),"待填")</f>
        <v>0</v>
      </c>
      <c r="J125" s="76" t="n">
        <f>IFERROR(0+(IFERROR(J58/J39,0)),"待填")</f>
        <v>0</v>
      </c>
      <c r="K125" s="76" t="n">
        <f>IFERROR(0+(IFERROR(K58/K39,0)),"待填")</f>
        <v>0</v>
      </c>
      <c r="L125" s="76" t="n">
        <f>IFERROR(0+(IFERROR(L58/L39,0)),"待填")</f>
        <v>0</v>
      </c>
      <c r="M125" s="76" t="n">
        <f>IFERROR(0+(IFERROR(M58/M39,0)),"待填")</f>
        <v>0</v>
      </c>
      <c r="N125" s="76" t="n">
        <f>IFERROR(0+(IFERROR(N58/N39,0)),"待填")</f>
        <v>0</v>
      </c>
      <c r="O125" s="76" t="n">
        <f>IFERROR(0+(IFERROR(O58/O39,0)),"待填")</f>
        <v>0</v>
      </c>
      <c r="P125" s="76" t="n">
        <f>IFERROR(0+(IFERROR(P58/P39,0)),"待填")</f>
        <v>0</v>
      </c>
      <c r="Q125" s="76" t="n">
        <f>IFERROR(0+(IFERROR(Q58/Q39,0)),"待填")</f>
        <v>0</v>
      </c>
      <c r="R125" s="76" t="n">
        <f>IFERROR(0+(IFERROR(R58/R39,0)),"待填")</f>
        <v>0</v>
      </c>
      <c r="S125" s="76" t="n">
        <f>IFERROR(0+(IFERROR(S58/S39,0)),"待填")</f>
        <v>0</v>
      </c>
    </row>
    <row r="126" ht="18" customHeight="1">
      <c r="A126" s="2"/>
      <c r="B126" s="46" t="str"/>
      <c r="C126" s="2" t="str">
        <v>—研究开发费</v>
      </c>
      <c r="D126" s="61" t="n">
        <f>IFERROR(0+(IFERROR(D59/D39,0)),"待填")</f>
        <v>0</v>
      </c>
      <c r="E126" s="61" t="n">
        <f>IFERROR(0+(IFERROR(E59/E39,0)),"待填")</f>
        <v>0</v>
      </c>
      <c r="F126" s="61" t="n">
        <f>IFERROR(0+(IFERROR(F59/F39,0)),"待填")</f>
        <v>0</v>
      </c>
      <c r="G126" s="61" t="n">
        <f>IFERROR(0+(IFERROR(G59/G39,0)),"待填")</f>
        <v>0</v>
      </c>
      <c r="H126" s="61" t="n">
        <f>IFERROR(0+(IFERROR(H59/H39,0)),"待填")</f>
        <v>0</v>
      </c>
      <c r="I126" s="61" t="n">
        <f>IFERROR(0+(IFERROR(I59/I39,0)),"待填")</f>
        <v>0</v>
      </c>
      <c r="J126" s="61" t="n">
        <f>IFERROR(0+(IFERROR(J59/J39,0)),"待填")</f>
        <v>0</v>
      </c>
      <c r="K126" s="61" t="n">
        <f>IFERROR(0+(IFERROR(K59/K39,0)),"待填")</f>
        <v>0</v>
      </c>
      <c r="L126" s="61" t="n">
        <f>IFERROR(0+(IFERROR(L59/L39,0)),"待填")</f>
        <v>0</v>
      </c>
      <c r="M126" s="61" t="n">
        <f>IFERROR(0+(IFERROR(M59/M39,0)),"待填")</f>
        <v>0</v>
      </c>
      <c r="N126" s="61" t="n">
        <f>IFERROR(0+(IFERROR(N59/N39,0)),"待填")</f>
        <v>0</v>
      </c>
      <c r="O126" s="61" t="n">
        <f>IFERROR(0+(IFERROR(O59/O39,0)),"待填")</f>
        <v>0</v>
      </c>
      <c r="P126" s="61" t="n">
        <f>IFERROR(0+(IFERROR(P59/P39,0)),"待填")</f>
        <v>0</v>
      </c>
      <c r="Q126" s="61" t="n">
        <f>IFERROR(0+(IFERROR(Q59/Q39,0)),"待填")</f>
        <v>0</v>
      </c>
      <c r="R126" s="61" t="n">
        <f>IFERROR(0+(IFERROR(R59/R39,0)),"待填")</f>
        <v>0</v>
      </c>
      <c r="S126" s="61" t="n">
        <f>IFERROR(0+(IFERROR(S59/S39,0)),"待填")</f>
        <v>0</v>
      </c>
    </row>
    <row r="127" ht="18" customHeight="1">
      <c r="A127" s="2"/>
      <c r="B127" s="46" t="str"/>
      <c r="C127" s="2" t="str">
        <v>—业务招待费</v>
      </c>
      <c r="D127" s="61" t="n">
        <f>IFERROR(0+(IFERROR(D60/D39,0)),"待填")</f>
        <v>0</v>
      </c>
      <c r="E127" s="61" t="n">
        <f>IFERROR(0+(IFERROR(E60/E39,0)),"待填")</f>
        <v>0</v>
      </c>
      <c r="F127" s="61" t="n">
        <f>IFERROR(0+(IFERROR(F60/F39,0)),"待填")</f>
        <v>0</v>
      </c>
      <c r="G127" s="61" t="n">
        <f>IFERROR(0+(IFERROR(G60/G39,0)),"待填")</f>
        <v>0</v>
      </c>
      <c r="H127" s="61" t="n">
        <f>IFERROR(0+(IFERROR(H60/H39,0)),"待填")</f>
        <v>0</v>
      </c>
      <c r="I127" s="61" t="n">
        <f>IFERROR(0+(IFERROR(I60/I39,0)),"待填")</f>
        <v>0</v>
      </c>
      <c r="J127" s="61" t="n">
        <f>IFERROR(0+(IFERROR(J60/J39,0)),"待填")</f>
        <v>0</v>
      </c>
      <c r="K127" s="61" t="n">
        <f>IFERROR(0+(IFERROR(K60/K39,0)),"待填")</f>
        <v>0</v>
      </c>
      <c r="L127" s="61" t="n">
        <f>IFERROR(0+(IFERROR(L60/L39,0)),"待填")</f>
        <v>0</v>
      </c>
      <c r="M127" s="61" t="n">
        <f>IFERROR(0+(IFERROR(M60/M39,0)),"待填")</f>
        <v>0</v>
      </c>
      <c r="N127" s="61" t="n">
        <f>IFERROR(0+(IFERROR(N60/N39,0)),"待填")</f>
        <v>0</v>
      </c>
      <c r="O127" s="61" t="n">
        <f>IFERROR(0+(IFERROR(O60/O39,0)),"待填")</f>
        <v>0</v>
      </c>
      <c r="P127" s="61" t="n">
        <f>IFERROR(0+(IFERROR(P60/P39,0)),"待填")</f>
        <v>0</v>
      </c>
      <c r="Q127" s="61" t="n">
        <f>IFERROR(0+(IFERROR(Q60/Q39,0)),"待填")</f>
        <v>0</v>
      </c>
      <c r="R127" s="61" t="n">
        <f>IFERROR(0+(IFERROR(R60/R39,0)),"待填")</f>
        <v>0</v>
      </c>
      <c r="S127" s="61" t="n">
        <f>IFERROR(0+(IFERROR(S60/S39,0)),"待填")</f>
        <v>0</v>
      </c>
    </row>
    <row r="128" ht="18" customHeight="1">
      <c r="A128" s="2"/>
      <c r="B128" s="46" t="str"/>
      <c r="C128" s="2" t="str">
        <v>—税金</v>
      </c>
      <c r="D128" s="61" t="n">
        <f>IFERROR(0+(IFERROR(D61/D39,0)),"待填")</f>
        <v>0</v>
      </c>
      <c r="E128" s="61" t="n">
        <f>IFERROR(0+(IFERROR(E61/E39,0)),"待填")</f>
        <v>0</v>
      </c>
      <c r="F128" s="61" t="n">
        <f>IFERROR(0+(IFERROR(F61/F39,0)),"待填")</f>
        <v>0</v>
      </c>
      <c r="G128" s="61" t="n">
        <f>IFERROR(0+(IFERROR(G61/G39,0)),"待填")</f>
        <v>0</v>
      </c>
      <c r="H128" s="61" t="n">
        <f>IFERROR(0+(IFERROR(H61/H39,0)),"待填")</f>
        <v>0</v>
      </c>
      <c r="I128" s="61" t="n">
        <f>IFERROR(0+(IFERROR(I61/I39,0)),"待填")</f>
        <v>0</v>
      </c>
      <c r="J128" s="61" t="n">
        <f>IFERROR(0+(IFERROR(J61/J39,0)),"待填")</f>
        <v>0</v>
      </c>
      <c r="K128" s="61" t="n">
        <f>IFERROR(0+(IFERROR(K61/K39,0)),"待填")</f>
        <v>0</v>
      </c>
      <c r="L128" s="61" t="n">
        <f>IFERROR(0+(IFERROR(L61/L39,0)),"待填")</f>
        <v>0</v>
      </c>
      <c r="M128" s="61" t="n">
        <f>IFERROR(0+(IFERROR(M61/M39,0)),"待填")</f>
        <v>0</v>
      </c>
      <c r="N128" s="61" t="n">
        <f>IFERROR(0+(IFERROR(N61/N39,0)),"待填")</f>
        <v>0</v>
      </c>
      <c r="O128" s="61" t="n">
        <f>IFERROR(0+(IFERROR(O61/O39,0)),"待填")</f>
        <v>0</v>
      </c>
      <c r="P128" s="61" t="n">
        <f>IFERROR(0+(IFERROR(P61/P39,0)),"待填")</f>
        <v>0</v>
      </c>
      <c r="Q128" s="61" t="n">
        <f>IFERROR(0+(IFERROR(Q61/Q39,0)),"待填")</f>
        <v>0</v>
      </c>
      <c r="R128" s="61" t="n">
        <f>IFERROR(0+(IFERROR(R61/R39,0)),"待填")</f>
        <v>0</v>
      </c>
      <c r="S128" s="61" t="n">
        <f>IFERROR(0+(IFERROR(S61/S39,0)),"待填")</f>
        <v>0</v>
      </c>
    </row>
    <row r="129" ht="18" customHeight="1">
      <c r="A129" s="2"/>
      <c r="B129" s="46" t="str"/>
      <c r="C129" s="2" t="str">
        <v>—办公费</v>
      </c>
      <c r="D129" s="61" t="n">
        <f>IFERROR(0+(IFERROR(D62/D39,0)),"待填")</f>
        <v>0</v>
      </c>
      <c r="E129" s="61" t="n">
        <f>IFERROR(0+(IFERROR(E62/E39,0)),"待填")</f>
        <v>0</v>
      </c>
      <c r="F129" s="61" t="n">
        <f>IFERROR(0+(IFERROR(F62/F39,0)),"待填")</f>
        <v>0</v>
      </c>
      <c r="G129" s="61" t="n">
        <f>IFERROR(0+(IFERROR(G62/G39,0)),"待填")</f>
        <v>0</v>
      </c>
      <c r="H129" s="61" t="n">
        <f>IFERROR(0+(IFERROR(H62/H39,0)),"待填")</f>
        <v>0</v>
      </c>
      <c r="I129" s="61" t="n">
        <f>IFERROR(0+(IFERROR(I62/I39,0)),"待填")</f>
        <v>0</v>
      </c>
      <c r="J129" s="61" t="n">
        <f>IFERROR(0+(IFERROR(J62/J39,0)),"待填")</f>
        <v>0</v>
      </c>
      <c r="K129" s="61" t="n">
        <f>IFERROR(0+(IFERROR(K62/K39,0)),"待填")</f>
        <v>0</v>
      </c>
      <c r="L129" s="61" t="n">
        <f>IFERROR(0+(IFERROR(L62/L39,0)),"待填")</f>
        <v>0</v>
      </c>
      <c r="M129" s="61" t="n">
        <f>IFERROR(0+(IFERROR(M62/M39,0)),"待填")</f>
        <v>0</v>
      </c>
      <c r="N129" s="61" t="n">
        <f>IFERROR(0+(IFERROR(N62/N39,0)),"待填")</f>
        <v>0</v>
      </c>
      <c r="O129" s="61" t="n">
        <f>IFERROR(0+(IFERROR(O62/O39,0)),"待填")</f>
        <v>0</v>
      </c>
      <c r="P129" s="61" t="n">
        <f>IFERROR(0+(IFERROR(P62/P39,0)),"待填")</f>
        <v>0</v>
      </c>
      <c r="Q129" s="61" t="n">
        <f>IFERROR(0+(IFERROR(Q62/Q39,0)),"待填")</f>
        <v>0</v>
      </c>
      <c r="R129" s="61" t="n">
        <f>IFERROR(0+(IFERROR(R62/R39,0)),"待填")</f>
        <v>0</v>
      </c>
      <c r="S129" s="61" t="n">
        <f>IFERROR(0+(IFERROR(S62/S39,0)),"待填")</f>
        <v>0</v>
      </c>
    </row>
    <row r="130" ht="18" customHeight="1">
      <c r="A130" s="2"/>
      <c r="B130" s="46" t="str"/>
      <c r="C130" s="2" t="str">
        <v>—评估咨询费</v>
      </c>
      <c r="D130" s="61" t="n">
        <f>IFERROR(0+(IFERROR(D63/D39,0)),"待填")</f>
        <v>0</v>
      </c>
      <c r="E130" s="61" t="n">
        <f>IFERROR(0+(IFERROR(E63/E39,0)),"待填")</f>
        <v>0</v>
      </c>
      <c r="F130" s="61" t="n">
        <f>IFERROR(0+(IFERROR(F63/F39,0)),"待填")</f>
        <v>0</v>
      </c>
      <c r="G130" s="61" t="n">
        <f>IFERROR(0+(IFERROR(G63/G39,0)),"待填")</f>
        <v>0</v>
      </c>
      <c r="H130" s="61" t="n">
        <f>IFERROR(0+(IFERROR(H63/H39,0)),"待填")</f>
        <v>0</v>
      </c>
      <c r="I130" s="61" t="n">
        <f>IFERROR(0+(IFERROR(I63/I39,0)),"待填")</f>
        <v>0</v>
      </c>
      <c r="J130" s="61" t="n">
        <f>IFERROR(0+(IFERROR(J63/J39,0)),"待填")</f>
        <v>0</v>
      </c>
      <c r="K130" s="61" t="n">
        <f>IFERROR(0+(IFERROR(K63/K39,0)),"待填")</f>
        <v>0</v>
      </c>
      <c r="L130" s="61" t="n">
        <f>IFERROR(0+(IFERROR(L63/L39,0)),"待填")</f>
        <v>0</v>
      </c>
      <c r="M130" s="61" t="n">
        <f>IFERROR(0+(IFERROR(M63/M39,0)),"待填")</f>
        <v>0</v>
      </c>
      <c r="N130" s="61" t="n">
        <f>IFERROR(0+(IFERROR(N63/N39,0)),"待填")</f>
        <v>0</v>
      </c>
      <c r="O130" s="61" t="n">
        <f>IFERROR(0+(IFERROR(O63/O39,0)),"待填")</f>
        <v>0</v>
      </c>
      <c r="P130" s="61" t="n">
        <f>IFERROR(0+(IFERROR(P63/P39,0)),"待填")</f>
        <v>0</v>
      </c>
      <c r="Q130" s="61" t="n">
        <f>IFERROR(0+(IFERROR(Q63/Q39,0)),"待填")</f>
        <v>0</v>
      </c>
      <c r="R130" s="61" t="n">
        <f>IFERROR(0+(IFERROR(R63/R39,0)),"待填")</f>
        <v>0</v>
      </c>
      <c r="S130" s="61" t="n">
        <f>IFERROR(0+(IFERROR(S63/S39,0)),"待填")</f>
        <v>0</v>
      </c>
    </row>
    <row r="131" ht="18" customHeight="1">
      <c r="A131" s="2"/>
      <c r="B131" s="46" t="str"/>
      <c r="C131" s="2" t="str">
        <v>—其他</v>
      </c>
      <c r="D131" s="61" t="n">
        <f>IFERROR(0+(IFERROR(D64/D39,0)),"待填")</f>
        <v>0</v>
      </c>
      <c r="E131" s="61" t="n">
        <f>IFERROR(0+(IFERROR(E64/E39,0)),"待填")</f>
        <v>0</v>
      </c>
      <c r="F131" s="61" t="n">
        <f>IFERROR(0+(IFERROR(F64/F39,0)),"待填")</f>
        <v>0</v>
      </c>
      <c r="G131" s="61" t="n">
        <f>IFERROR(0+(IFERROR(G64/G39,0)),"待填")</f>
        <v>0</v>
      </c>
      <c r="H131" s="61" t="n">
        <f>IFERROR(0+(IFERROR(H64/H39,0)),"待填")</f>
        <v>0</v>
      </c>
      <c r="I131" s="61" t="n">
        <f>IFERROR(0+(IFERROR(I64/I39,0)),"待填")</f>
        <v>0</v>
      </c>
      <c r="J131" s="61" t="n">
        <f>IFERROR(0+(IFERROR(J64/J39,0)),"待填")</f>
        <v>0</v>
      </c>
      <c r="K131" s="61" t="n">
        <f>IFERROR(0+(IFERROR(K64/K39,0)),"待填")</f>
        <v>0</v>
      </c>
      <c r="L131" s="61" t="n">
        <f>IFERROR(0+(IFERROR(L64/L39,0)),"待填")</f>
        <v>0</v>
      </c>
      <c r="M131" s="61" t="n">
        <f>IFERROR(0+(IFERROR(M64/M39,0)),"待填")</f>
        <v>0</v>
      </c>
      <c r="N131" s="61" t="n">
        <f>IFERROR(0+(IFERROR(N64/N39,0)),"待填")</f>
        <v>0</v>
      </c>
      <c r="O131" s="61" t="n">
        <f>IFERROR(0+(IFERROR(O64/O39,0)),"待填")</f>
        <v>0</v>
      </c>
      <c r="P131" s="61" t="n">
        <f>IFERROR(0+(IFERROR(P64/P39,0)),"待填")</f>
        <v>0</v>
      </c>
      <c r="Q131" s="61" t="n">
        <f>IFERROR(0+(IFERROR(Q64/Q39,0)),"待填")</f>
        <v>0</v>
      </c>
      <c r="R131" s="61" t="n">
        <f>IFERROR(0+(IFERROR(R64/R39,0)),"待填")</f>
        <v>0</v>
      </c>
      <c r="S131" s="61" t="n">
        <f>IFERROR(0+(IFERROR(S64/S39,0)),"待填")</f>
        <v>0</v>
      </c>
    </row>
    <row r="132" ht="18" customHeight="1">
      <c r="A132" s="2"/>
      <c r="B132" s="46" t="str"/>
      <c r="C132" s="2" t="str">
        <v>—税金[注]</v>
      </c>
      <c r="D132" s="61" t="n">
        <f>IFERROR(0+(IFERROR(D65/D39,0)),"待填")</f>
        <v>0</v>
      </c>
      <c r="E132" s="61" t="n">
        <f>IFERROR(0+(IFERROR(E65/E39,0)),"待填")</f>
        <v>0</v>
      </c>
      <c r="F132" s="61" t="n">
        <f>IFERROR(0+(IFERROR(F65/F39,0)),"待填")</f>
        <v>0</v>
      </c>
      <c r="G132" s="61" t="n">
        <f>IFERROR(0+(IFERROR(G65/G39,0)),"待填")</f>
        <v>0</v>
      </c>
      <c r="H132" s="61" t="n">
        <f>IFERROR(0+(IFERROR(H65/H39,0)),"待填")</f>
        <v>0</v>
      </c>
      <c r="I132" s="61" t="n">
        <f>IFERROR(0+(IFERROR(I65/I39,0)),"待填")</f>
        <v>0</v>
      </c>
      <c r="J132" s="61" t="n">
        <f>IFERROR(0+(IFERROR(J65/J39,0)),"待填")</f>
        <v>0</v>
      </c>
      <c r="K132" s="61" t="n">
        <f>IFERROR(0+(IFERROR(K65/K39,0)),"待填")</f>
        <v>0</v>
      </c>
      <c r="L132" s="61" t="n">
        <f>IFERROR(0+(IFERROR(L65/L39,0)),"待填")</f>
        <v>0</v>
      </c>
      <c r="M132" s="61" t="n">
        <f>IFERROR(0+(IFERROR(M65/M39,0)),"待填")</f>
        <v>0</v>
      </c>
      <c r="N132" s="61" t="n">
        <f>IFERROR(0+(IFERROR(N65/N39,0)),"待填")</f>
        <v>0</v>
      </c>
      <c r="O132" s="61" t="n">
        <f>IFERROR(0+(IFERROR(O65/O39,0)),"待填")</f>
        <v>0</v>
      </c>
      <c r="P132" s="61" t="n">
        <f>IFERROR(0+(IFERROR(P65/P39,0)),"待填")</f>
        <v>0</v>
      </c>
      <c r="Q132" s="61" t="n">
        <f>IFERROR(0+(IFERROR(Q65/Q39,0)),"待填")</f>
        <v>0</v>
      </c>
      <c r="R132" s="61" t="n">
        <f>IFERROR(0+(IFERROR(R65/R39,0)),"待填")</f>
        <v>0</v>
      </c>
      <c r="S132" s="61" t="n">
        <f>IFERROR(0+(IFERROR(S65/S39,0)),"待填")</f>
        <v>0</v>
      </c>
    </row>
    <row r="133" ht="18" customHeight="1">
      <c r="A133" s="2"/>
      <c r="B133" s="46" t="str"/>
      <c r="C133" s="2" t="str">
        <v>—税费[注]</v>
      </c>
      <c r="D133" s="61" t="n">
        <f>IFERROR(0+(IFERROR(D66/D39,0)),"待填")</f>
        <v>0</v>
      </c>
      <c r="E133" s="61" t="n">
        <f>IFERROR(0+(IFERROR(E66/E39,0)),"待填")</f>
        <v>0</v>
      </c>
      <c r="F133" s="61" t="n">
        <f>IFERROR(0+(IFERROR(F66/F39,0)),"待填")</f>
        <v>0</v>
      </c>
      <c r="G133" s="61" t="n">
        <f>IFERROR(0+(IFERROR(G66/G39,0)),"待填")</f>
        <v>0</v>
      </c>
      <c r="H133" s="61" t="n">
        <f>IFERROR(0+(IFERROR(H66/H39,0)),"待填")</f>
        <v>0</v>
      </c>
      <c r="I133" s="61" t="n">
        <f>IFERROR(0+(IFERROR(I66/I39,0)),"待填")</f>
        <v>0</v>
      </c>
      <c r="J133" s="61" t="n">
        <f>IFERROR(0+(IFERROR(J66/J39,0)),"待填")</f>
        <v>0</v>
      </c>
      <c r="K133" s="61" t="n">
        <f>IFERROR(0+(IFERROR(K66/K39,0)),"待填")</f>
        <v>0</v>
      </c>
      <c r="L133" s="61" t="n">
        <f>IFERROR(0+(IFERROR(L66/L39,0)),"待填")</f>
        <v>0</v>
      </c>
      <c r="M133" s="61" t="n">
        <f>IFERROR(0+(IFERROR(M66/M39,0)),"待填")</f>
        <v>0</v>
      </c>
      <c r="N133" s="61" t="n">
        <f>IFERROR(0+(IFERROR(N66/N39,0)),"待填")</f>
        <v>0</v>
      </c>
      <c r="O133" s="61" t="n">
        <f>IFERROR(0+(IFERROR(O66/O39,0)),"待填")</f>
        <v>0</v>
      </c>
      <c r="P133" s="61" t="n">
        <f>IFERROR(0+(IFERROR(P66/P39,0)),"待填")</f>
        <v>0</v>
      </c>
      <c r="Q133" s="61" t="n">
        <f>IFERROR(0+(IFERROR(Q66/Q39,0)),"待填")</f>
        <v>0</v>
      </c>
      <c r="R133" s="61" t="n">
        <f>IFERROR(0+(IFERROR(R66/R39,0)),"待填")</f>
        <v>0</v>
      </c>
      <c r="S133" s="61" t="n">
        <f>IFERROR(0+(IFERROR(S66/S39,0)),"待填")</f>
        <v>0</v>
      </c>
    </row>
    <row r="134" ht="18" customHeight="1">
      <c r="A134" s="2"/>
      <c r="B134" s="46" t="str"/>
      <c r="C134" s="2" t="str">
        <v>—中介机构费</v>
      </c>
      <c r="D134" s="61" t="n">
        <f>IFERROR(0+(IFERROR(D67/D39,0)),"待填")</f>
        <v>0</v>
      </c>
      <c r="E134" s="61" t="n">
        <f>IFERROR(0+(IFERROR(E67/E39,0)),"待填")</f>
        <v>0</v>
      </c>
      <c r="F134" s="61" t="n">
        <f>IFERROR(0+(IFERROR(F67/F39,0)),"待填")</f>
        <v>0</v>
      </c>
      <c r="G134" s="61" t="n">
        <f>IFERROR(0+(IFERROR(G67/G39,0)),"待填")</f>
        <v>0</v>
      </c>
      <c r="H134" s="61" t="n">
        <f>IFERROR(0+(IFERROR(H67/H39,0)),"待填")</f>
        <v>0</v>
      </c>
      <c r="I134" s="61" t="n">
        <f>IFERROR(0+(IFERROR(I67/I39,0)),"待填")</f>
        <v>0</v>
      </c>
      <c r="J134" s="61" t="n">
        <f>IFERROR(0+(IFERROR(J67/J39,0)),"待填")</f>
        <v>0</v>
      </c>
      <c r="K134" s="61" t="n">
        <f>IFERROR(0+(IFERROR(K67/K39,0)),"待填")</f>
        <v>0</v>
      </c>
      <c r="L134" s="61" t="n">
        <f>IFERROR(0+(IFERROR(L67/L39,0)),"待填")</f>
        <v>0</v>
      </c>
      <c r="M134" s="61" t="n">
        <f>IFERROR(0+(IFERROR(M67/M39,0)),"待填")</f>
        <v>0</v>
      </c>
      <c r="N134" s="61" t="n">
        <f>IFERROR(0+(IFERROR(N67/N39,0)),"待填")</f>
        <v>0</v>
      </c>
      <c r="O134" s="61" t="n">
        <f>IFERROR(0+(IFERROR(O67/O39,0)),"待填")</f>
        <v>0</v>
      </c>
      <c r="P134" s="61" t="n">
        <f>IFERROR(0+(IFERROR(P67/P39,0)),"待填")</f>
        <v>0</v>
      </c>
      <c r="Q134" s="61" t="n">
        <f>IFERROR(0+(IFERROR(Q67/Q39,0)),"待填")</f>
        <v>0</v>
      </c>
      <c r="R134" s="61" t="n">
        <f>IFERROR(0+(IFERROR(R67/R39,0)),"待填")</f>
        <v>0</v>
      </c>
      <c r="S134" s="61" t="n">
        <f>IFERROR(0+(IFERROR(S67/S39,0)),"待填")</f>
        <v>0</v>
      </c>
    </row>
    <row r="135" ht="18" customHeight="1">
      <c r="A135" s="2"/>
      <c r="B135" s="46" t="str"/>
      <c r="C135" s="38" t="str">
        <v>研发相关费用</v>
      </c>
      <c r="D135" s="76" t="n">
        <f>IFERROR(0+(IFERROR(D68/D39,0)),"待填")</f>
        <v>0</v>
      </c>
      <c r="E135" s="76" t="n">
        <f>IFERROR(0+(IFERROR(E68/E39,0)),"待填")</f>
        <v>0</v>
      </c>
      <c r="F135" s="76" t="n">
        <f>IFERROR(0+(IFERROR(F68/F39,0)),"待填")</f>
        <v>0</v>
      </c>
      <c r="G135" s="76" t="n">
        <f>IFERROR(0+(IFERROR(G68/G39,0)),"待填")</f>
        <v>0</v>
      </c>
      <c r="H135" s="76" t="n">
        <f>IFERROR(0+(IFERROR(H68/H39,0)),"待填")</f>
        <v>0</v>
      </c>
      <c r="I135" s="76" t="n">
        <f>IFERROR(0+(IFERROR(I68/I39,0)),"待填")</f>
        <v>0</v>
      </c>
      <c r="J135" s="76" t="n">
        <f>IFERROR(0+(IFERROR(J68/J39,0)),"待填")</f>
        <v>0</v>
      </c>
      <c r="K135" s="76" t="n">
        <f>IFERROR(0+(IFERROR(K68/K39,0)),"待填")</f>
        <v>0</v>
      </c>
      <c r="L135" s="76" t="n">
        <f>IFERROR(0+(IFERROR(L68/L39,0)),"待填")</f>
        <v>0</v>
      </c>
      <c r="M135" s="76" t="n">
        <f>IFERROR(0+(IFERROR(M68/M39,0)),"待填")</f>
        <v>0</v>
      </c>
      <c r="N135" s="76" t="n">
        <f>IFERROR(0+(IFERROR(N68/N39,0)),"待填")</f>
        <v>0</v>
      </c>
      <c r="O135" s="76" t="n">
        <f>IFERROR(0+(IFERROR(O68/O39,0)),"待填")</f>
        <v>0</v>
      </c>
      <c r="P135" s="76" t="n">
        <f>IFERROR(0+(IFERROR(P68/P39,0)),"待填")</f>
        <v>0</v>
      </c>
      <c r="Q135" s="76" t="n">
        <f>IFERROR(0+(IFERROR(Q68/Q39,0)),"待填")</f>
        <v>0</v>
      </c>
      <c r="R135" s="76" t="n">
        <f>IFERROR(0+(IFERROR(R68/R39,0)),"待填")</f>
        <v>0</v>
      </c>
      <c r="S135" s="76" t="n">
        <f>IFERROR(0+(IFERROR(S68/S39,0)),"待填")</f>
        <v>0</v>
      </c>
    </row>
    <row r="136" ht="18" customHeight="1">
      <c r="A136" s="2"/>
      <c r="B136" s="46" t="str"/>
      <c r="C136" s="2" t="str">
        <v>—直接投入</v>
      </c>
      <c r="D136" s="61" t="n">
        <f>IFERROR(0+(IFERROR(D69/D39,0)),"待填")</f>
        <v>0</v>
      </c>
      <c r="E136" s="61" t="n">
        <f>IFERROR(0+(IFERROR(E69/E39,0)),"待填")</f>
        <v>0</v>
      </c>
      <c r="F136" s="61" t="n">
        <f>IFERROR(0+(IFERROR(F69/F39,0)),"待填")</f>
        <v>0</v>
      </c>
      <c r="G136" s="61" t="n">
        <f>IFERROR(0+(IFERROR(G69/G39,0)),"待填")</f>
        <v>0</v>
      </c>
      <c r="H136" s="61" t="n">
        <f>IFERROR(0+(IFERROR(H69/H39,0)),"待填")</f>
        <v>0</v>
      </c>
      <c r="I136" s="61" t="n">
        <f>IFERROR(0+(IFERROR(I69/I39,0)),"待填")</f>
        <v>0</v>
      </c>
      <c r="J136" s="61" t="n">
        <f>IFERROR(0+(IFERROR(J69/J39,0)),"待填")</f>
        <v>0</v>
      </c>
      <c r="K136" s="61" t="n">
        <f>IFERROR(0+(IFERROR(K69/K39,0)),"待填")</f>
        <v>0</v>
      </c>
      <c r="L136" s="61" t="n">
        <f>IFERROR(0+(IFERROR(L69/L39,0)),"待填")</f>
        <v>0</v>
      </c>
      <c r="M136" s="61" t="n">
        <f>IFERROR(0+(IFERROR(M69/M39,0)),"待填")</f>
        <v>0</v>
      </c>
      <c r="N136" s="61" t="n">
        <f>IFERROR(0+(IFERROR(N69/N39,0)),"待填")</f>
        <v>0</v>
      </c>
      <c r="O136" s="61" t="n">
        <f>IFERROR(0+(IFERROR(O69/O39,0)),"待填")</f>
        <v>0</v>
      </c>
      <c r="P136" s="61" t="n">
        <f>IFERROR(0+(IFERROR(P69/P39,0)),"待填")</f>
        <v>0</v>
      </c>
      <c r="Q136" s="61" t="n">
        <f>IFERROR(0+(IFERROR(Q69/Q39,0)),"待填")</f>
        <v>0</v>
      </c>
      <c r="R136" s="61" t="n">
        <f>IFERROR(0+(IFERROR(R69/R39,0)),"待填")</f>
        <v>0</v>
      </c>
      <c r="S136" s="61" t="n">
        <f>IFERROR(0+(IFERROR(S69/S39,0)),"待填")</f>
        <v>0</v>
      </c>
    </row>
    <row r="137" ht="18" customHeight="1">
      <c r="A137" s="2"/>
      <c r="B137" s="46" t="str"/>
      <c r="C137" s="2" t="str">
        <v>—其他</v>
      </c>
      <c r="D137" s="61" t="n">
        <f>IFERROR(0+(IFERROR(D70/D39,0)),"待填")</f>
        <v>0</v>
      </c>
      <c r="E137" s="61" t="n">
        <f>IFERROR(0+(IFERROR(E70/E39,0)),"待填")</f>
        <v>0</v>
      </c>
      <c r="F137" s="61" t="n">
        <f>IFERROR(0+(IFERROR(F70/F39,0)),"待填")</f>
        <v>0</v>
      </c>
      <c r="G137" s="61" t="n">
        <f>IFERROR(0+(IFERROR(G70/G39,0)),"待填")</f>
        <v>0</v>
      </c>
      <c r="H137" s="61" t="n">
        <f>IFERROR(0+(IFERROR(H70/H39,0)),"待填")</f>
        <v>0</v>
      </c>
      <c r="I137" s="61" t="n">
        <f>IFERROR(0+(IFERROR(I70/I39,0)),"待填")</f>
        <v>0</v>
      </c>
      <c r="J137" s="61" t="n">
        <f>IFERROR(0+(IFERROR(J70/J39,0)),"待填")</f>
        <v>0</v>
      </c>
      <c r="K137" s="61" t="n">
        <f>IFERROR(0+(IFERROR(K70/K39,0)),"待填")</f>
        <v>0</v>
      </c>
      <c r="L137" s="61" t="n">
        <f>IFERROR(0+(IFERROR(L70/L39,0)),"待填")</f>
        <v>0</v>
      </c>
      <c r="M137" s="61" t="n">
        <f>IFERROR(0+(IFERROR(M70/M39,0)),"待填")</f>
        <v>0</v>
      </c>
      <c r="N137" s="61" t="n">
        <f>IFERROR(0+(IFERROR(N70/N39,0)),"待填")</f>
        <v>0</v>
      </c>
      <c r="O137" s="61" t="n">
        <f>IFERROR(0+(IFERROR(O70/O39,0)),"待填")</f>
        <v>0</v>
      </c>
      <c r="P137" s="61" t="n">
        <f>IFERROR(0+(IFERROR(P70/P39,0)),"待填")</f>
        <v>0</v>
      </c>
      <c r="Q137" s="61" t="n">
        <f>IFERROR(0+(IFERROR(Q70/Q39,0)),"待填")</f>
        <v>0</v>
      </c>
      <c r="R137" s="61" t="n">
        <f>IFERROR(0+(IFERROR(R70/R39,0)),"待填")</f>
        <v>0</v>
      </c>
      <c r="S137" s="61" t="n">
        <f>IFERROR(0+(IFERROR(S70/S39,0)),"待填")</f>
        <v>0</v>
      </c>
    </row>
    <row r="138" ht="18" customHeight="1">
      <c r="A138" s="2"/>
      <c r="B138" s="46" t="str"/>
      <c r="C138" s="38" t="str">
        <v>制造费用中除人工、折旧、摊销以外的费用（例如水电等）</v>
      </c>
      <c r="D138" s="76" t="n">
        <f>IFERROR(0+(IFERROR(D71/D39,0)),"待填")</f>
        <v>0</v>
      </c>
      <c r="E138" s="76" t="n">
        <f>IFERROR(0+(IFERROR(E71/E39,0)),"待填")</f>
        <v>0</v>
      </c>
      <c r="F138" s="76" t="n">
        <f>IFERROR(0+(IFERROR(F71/F39,0)),"待填")</f>
        <v>0</v>
      </c>
      <c r="G138" s="76" t="n">
        <f>IFERROR(0+(IFERROR(G71/G39,0)),"待填")</f>
        <v>0</v>
      </c>
      <c r="H138" s="76" t="n">
        <f>IFERROR(0+(IFERROR(H71/H39,0)),"待填")</f>
        <v>0</v>
      </c>
      <c r="I138" s="76" t="n">
        <f>IFERROR(0+(IFERROR(I71/I39,0)),"待填")</f>
        <v>0</v>
      </c>
      <c r="J138" s="76" t="n">
        <f>IFERROR(0+(IFERROR(J71/J39,0)),"待填")</f>
        <v>0</v>
      </c>
      <c r="K138" s="76" t="n">
        <f>IFERROR(0+(IFERROR(K71/K39,0)),"待填")</f>
        <v>0</v>
      </c>
      <c r="L138" s="76" t="n">
        <f>IFERROR(0+(IFERROR(L71/L39,0)),"待填")</f>
        <v>0</v>
      </c>
      <c r="M138" s="76" t="n">
        <f>IFERROR(0+(IFERROR(M71/M39,0)),"待填")</f>
        <v>0</v>
      </c>
      <c r="N138" s="76" t="n">
        <f>IFERROR(0+(IFERROR(N71/N39,0)),"待填")</f>
        <v>0</v>
      </c>
      <c r="O138" s="76" t="n">
        <f>IFERROR(0+(IFERROR(O71/O39,0)),"待填")</f>
        <v>0</v>
      </c>
      <c r="P138" s="76" t="n">
        <f>IFERROR(0+(IFERROR(P71/P39,0)),"待填")</f>
        <v>0</v>
      </c>
      <c r="Q138" s="76" t="n">
        <f>IFERROR(0+(IFERROR(Q71/Q39,0)),"待填")</f>
        <v>0</v>
      </c>
      <c r="R138" s="76" t="n">
        <f>IFERROR(0+(IFERROR(R71/R39,0)),"待填")</f>
        <v>0</v>
      </c>
      <c r="S138" s="76" t="n">
        <f>IFERROR(0+(IFERROR(S71/S39,0)),"待填")</f>
        <v>0</v>
      </c>
    </row>
    <row r="139" ht="18" customHeight="1">
      <c r="A139" s="2"/>
      <c r="B139" s="46" t="str"/>
      <c r="C139" s="59" t="str">
        <v>员工薪酬</v>
      </c>
      <c r="D139" s="74" t="n">
        <f>IFERROR(0+(IFERROR(D72/D39,0)),"待填")</f>
        <v>0</v>
      </c>
      <c r="E139" s="74" t="n">
        <f>IFERROR(0+(IFERROR(E72/E39,0)),"待填")</f>
        <v>0</v>
      </c>
      <c r="F139" s="74" t="n">
        <f>IFERROR(0+(IFERROR(F72/F39,0)),"待填")</f>
        <v>0</v>
      </c>
      <c r="G139" s="74" t="n">
        <f>IFERROR(0+(IFERROR(G72/G39,0)),"待填")</f>
        <v>0</v>
      </c>
      <c r="H139" s="74" t="n">
        <f>IFERROR(0+(IFERROR(H72/H39,0)),"待填")</f>
        <v>0</v>
      </c>
      <c r="I139" s="74" t="n">
        <f>IFERROR(0+(IFERROR(I72/I39,0)),"待填")</f>
        <v>0</v>
      </c>
      <c r="J139" s="74" t="n">
        <f>IFERROR(0+(IFERROR(J72/J39,0)),"待填")</f>
        <v>0</v>
      </c>
      <c r="K139" s="74" t="n">
        <f>IFERROR(0+(IFERROR(K72/K39,0)),"待填")</f>
        <v>0</v>
      </c>
      <c r="L139" s="74" t="n">
        <f>IFERROR(0+(IFERROR(L72/L39,0)),"待填")</f>
        <v>0</v>
      </c>
      <c r="M139" s="74" t="n">
        <f>IFERROR(0+(IFERROR(M72/M39,0)),"待填")</f>
        <v>0</v>
      </c>
      <c r="N139" s="74" t="n">
        <f>IFERROR(0+(IFERROR(N72/N39,0)),"待填")</f>
        <v>0</v>
      </c>
      <c r="O139" s="74" t="n">
        <f>IFERROR(0+(IFERROR(O72/O39,0)),"待填")</f>
        <v>0</v>
      </c>
      <c r="P139" s="74" t="n">
        <f>IFERROR(0+(IFERROR(P72/P39,0)),"待填")</f>
        <v>0</v>
      </c>
      <c r="Q139" s="74" t="n">
        <f>IFERROR(0+(IFERROR(Q72/Q39,0)),"待填")</f>
        <v>0</v>
      </c>
      <c r="R139" s="74" t="n">
        <f>IFERROR(0+(IFERROR(R72/R39,0)),"待填")</f>
        <v>0</v>
      </c>
      <c r="S139" s="74" t="n">
        <f>IFERROR(0+(IFERROR(S72/S39,0)),"待填")</f>
        <v>0</v>
      </c>
    </row>
    <row r="140" ht="18" customHeight="1">
      <c r="A140" s="2"/>
      <c r="B140" s="46" t="str"/>
      <c r="C140" s="38" t="str">
        <v>制造工人薪酬（营业成本中的直接人工+制造费用中的人工）</v>
      </c>
      <c r="D140" s="76" t="n">
        <f>IFERROR(0+(IFERROR(D73/D39,0)),"待填")</f>
        <v>0</v>
      </c>
      <c r="E140" s="76" t="n">
        <f>IFERROR(0+(IFERROR(E73/E39,0)),"待填")</f>
        <v>0</v>
      </c>
      <c r="F140" s="76" t="n">
        <f>IFERROR(0+(IFERROR(F73/F39,0)),"待填")</f>
        <v>0</v>
      </c>
      <c r="G140" s="76" t="n">
        <f>IFERROR(0+(IFERROR(G73/G39,0)),"待填")</f>
        <v>0</v>
      </c>
      <c r="H140" s="76" t="n">
        <f>IFERROR(0+(IFERROR(H73/H39,0)),"待填")</f>
        <v>0</v>
      </c>
      <c r="I140" s="76" t="n">
        <f>IFERROR(0+(IFERROR(I73/I39,0)),"待填")</f>
        <v>0</v>
      </c>
      <c r="J140" s="76" t="n">
        <f>IFERROR(0+(IFERROR(J73/J39,0)),"待填")</f>
        <v>0</v>
      </c>
      <c r="K140" s="76" t="n">
        <f>IFERROR(0+(IFERROR(K73/K39,0)),"待填")</f>
        <v>0</v>
      </c>
      <c r="L140" s="76" t="n">
        <f>IFERROR(0+(IFERROR(L73/L39,0)),"待填")</f>
        <v>0</v>
      </c>
      <c r="M140" s="76" t="n">
        <f>IFERROR(0+(IFERROR(M73/M39,0)),"待填")</f>
        <v>0</v>
      </c>
      <c r="N140" s="76" t="n">
        <f>IFERROR(0+(IFERROR(N73/N39,0)),"待填")</f>
        <v>0</v>
      </c>
      <c r="O140" s="76" t="n">
        <f>IFERROR(0+(IFERROR(O73/O39,0)),"待填")</f>
        <v>0</v>
      </c>
      <c r="P140" s="76" t="n">
        <f>IFERROR(0+(IFERROR(P73/P39,0)),"待填")</f>
        <v>0</v>
      </c>
      <c r="Q140" s="76" t="n">
        <f>IFERROR(0+(IFERROR(Q73/Q39,0)),"待填")</f>
        <v>0</v>
      </c>
      <c r="R140" s="76" t="n">
        <f>IFERROR(0+(IFERROR(R73/R39,0)),"待填")</f>
        <v>0</v>
      </c>
      <c r="S140" s="76" t="n">
        <f>IFERROR(0+(IFERROR(S73/S39,0)),"待填")</f>
        <v>0</v>
      </c>
    </row>
    <row r="141" ht="18" customHeight="1">
      <c r="A141" s="2"/>
      <c r="B141" s="46" t="str"/>
      <c r="C141" s="38" t="str">
        <v>销售人员职工薪酬</v>
      </c>
      <c r="D141" s="76" t="n">
        <f>IFERROR(0+(IFERROR(D76/D39,0)),"待填")</f>
        <v>0</v>
      </c>
      <c r="E141" s="76" t="n">
        <f>IFERROR(0+(IFERROR(E76/E39,0)),"待填")</f>
        <v>0</v>
      </c>
      <c r="F141" s="76" t="n">
        <f>IFERROR(0+(IFERROR(F76/F39,0)),"待填")</f>
        <v>0</v>
      </c>
      <c r="G141" s="76" t="n">
        <f>IFERROR(0+(IFERROR(G76/G39,0)),"待填")</f>
        <v>0</v>
      </c>
      <c r="H141" s="76" t="n">
        <f>IFERROR(0+(IFERROR(H76/H39,0)),"待填")</f>
        <v>0</v>
      </c>
      <c r="I141" s="76" t="n">
        <f>IFERROR(0+(IFERROR(I76/I39,0)),"待填")</f>
        <v>0</v>
      </c>
      <c r="J141" s="76" t="n">
        <f>IFERROR(0+(IFERROR(J76/J39,0)),"待填")</f>
        <v>0</v>
      </c>
      <c r="K141" s="76" t="n">
        <f>IFERROR(0+(IFERROR(K76/K39,0)),"待填")</f>
        <v>0</v>
      </c>
      <c r="L141" s="76" t="n">
        <f>IFERROR(0+(IFERROR(L76/L39,0)),"待填")</f>
        <v>0</v>
      </c>
      <c r="M141" s="76" t="n">
        <f>IFERROR(0+(IFERROR(M76/M39,0)),"待填")</f>
        <v>0</v>
      </c>
      <c r="N141" s="76" t="n">
        <f>IFERROR(0+(IFERROR(N76/N39,0)),"待填")</f>
        <v>0</v>
      </c>
      <c r="O141" s="76" t="n">
        <f>IFERROR(0+(IFERROR(O76/O39,0)),"待填")</f>
        <v>0</v>
      </c>
      <c r="P141" s="76" t="n">
        <f>IFERROR(0+(IFERROR(P76/P39,0)),"待填")</f>
        <v>0</v>
      </c>
      <c r="Q141" s="76" t="n">
        <f>IFERROR(0+(IFERROR(Q76/Q39,0)),"待填")</f>
        <v>0</v>
      </c>
      <c r="R141" s="76" t="n">
        <f>IFERROR(0+(IFERROR(R76/R39,0)),"待填")</f>
        <v>0</v>
      </c>
      <c r="S141" s="76" t="n">
        <f>IFERROR(0+(IFERROR(S76/S39,0)),"待填")</f>
        <v>0</v>
      </c>
    </row>
    <row r="142" ht="18" customHeight="1">
      <c r="A142" s="2"/>
      <c r="B142" s="46" t="str"/>
      <c r="C142" s="2" t="str">
        <v>—销售人员职工薪酬</v>
      </c>
      <c r="D142" s="61" t="n">
        <f>IFERROR(0+(IFERROR(D77/D39,0)),"待填")</f>
        <v>0</v>
      </c>
      <c r="E142" s="61" t="n">
        <f>IFERROR(0+(IFERROR(E77/E39,0)),"待填")</f>
        <v>0</v>
      </c>
      <c r="F142" s="61" t="n">
        <f>IFERROR(0+(IFERROR(F77/F39,0)),"待填")</f>
        <v>0</v>
      </c>
      <c r="G142" s="61" t="n">
        <f>IFERROR(0+(IFERROR(G77/G39,0)),"待填")</f>
        <v>0</v>
      </c>
      <c r="H142" s="61" t="n">
        <f>IFERROR(0+(IFERROR(H77/H39,0)),"待填")</f>
        <v>0</v>
      </c>
      <c r="I142" s="61" t="n">
        <f>IFERROR(0+(IFERROR(I77/I39,0)),"待填")</f>
        <v>0</v>
      </c>
      <c r="J142" s="61" t="n">
        <f>IFERROR(0+(IFERROR(J77/J39,0)),"待填")</f>
        <v>0</v>
      </c>
      <c r="K142" s="61" t="n">
        <f>IFERROR(0+(IFERROR(K77/K39,0)),"待填")</f>
        <v>0</v>
      </c>
      <c r="L142" s="61" t="n">
        <f>IFERROR(0+(IFERROR(L77/L39,0)),"待填")</f>
        <v>0</v>
      </c>
      <c r="M142" s="61" t="n">
        <f>IFERROR(0+(IFERROR(M77/M39,0)),"待填")</f>
        <v>0</v>
      </c>
      <c r="N142" s="61" t="n">
        <f>IFERROR(0+(IFERROR(N77/N39,0)),"待填")</f>
        <v>0</v>
      </c>
      <c r="O142" s="61" t="n">
        <f>IFERROR(0+(IFERROR(O77/O39,0)),"待填")</f>
        <v>0</v>
      </c>
      <c r="P142" s="61" t="n">
        <f>IFERROR(0+(IFERROR(P77/P39,0)),"待填")</f>
        <v>0</v>
      </c>
      <c r="Q142" s="61" t="n">
        <f>IFERROR(0+(IFERROR(Q77/Q39,0)),"待填")</f>
        <v>0</v>
      </c>
      <c r="R142" s="61" t="n">
        <f>IFERROR(0+(IFERROR(R77/R39,0)),"待填")</f>
        <v>0</v>
      </c>
      <c r="S142" s="61" t="n">
        <f>IFERROR(0+(IFERROR(S77/S39,0)),"待填")</f>
        <v>0</v>
      </c>
    </row>
    <row r="143" ht="18" customHeight="1">
      <c r="A143" s="2"/>
      <c r="B143" s="46" t="str"/>
      <c r="C143" s="2" t="str">
        <v>—销售人员股份支付</v>
      </c>
      <c r="D143" s="61" t="n">
        <f>IFERROR(0+(IFERROR(D78/D39,0)),"待填")</f>
        <v>0</v>
      </c>
      <c r="E143" s="61" t="n">
        <f>IFERROR(0+(IFERROR(E78/E39,0)),"待填")</f>
        <v>0</v>
      </c>
      <c r="F143" s="61" t="n">
        <f>IFERROR(0+(IFERROR(F78/F39,0)),"待填")</f>
        <v>0</v>
      </c>
      <c r="G143" s="61" t="n">
        <f>IFERROR(0+(IFERROR(G78/G39,0)),"待填")</f>
        <v>0</v>
      </c>
      <c r="H143" s="61" t="n">
        <f>IFERROR(0+(IFERROR(H78/H39,0)),"待填")</f>
        <v>0</v>
      </c>
      <c r="I143" s="61" t="n">
        <f>IFERROR(0+(IFERROR(I78/I39,0)),"待填")</f>
        <v>0</v>
      </c>
      <c r="J143" s="61" t="n">
        <f>IFERROR(0+(IFERROR(J78/J39,0)),"待填")</f>
        <v>0</v>
      </c>
      <c r="K143" s="61" t="n">
        <f>IFERROR(0+(IFERROR(K78/K39,0)),"待填")</f>
        <v>0</v>
      </c>
      <c r="L143" s="61" t="n">
        <f>IFERROR(0+(IFERROR(L78/L39,0)),"待填")</f>
        <v>0</v>
      </c>
      <c r="M143" s="61" t="n">
        <f>IFERROR(0+(IFERROR(M78/M39,0)),"待填")</f>
        <v>0</v>
      </c>
      <c r="N143" s="61" t="n">
        <f>IFERROR(0+(IFERROR(N78/N39,0)),"待填")</f>
        <v>0</v>
      </c>
      <c r="O143" s="61" t="n">
        <f>IFERROR(0+(IFERROR(O78/O39,0)),"待填")</f>
        <v>0</v>
      </c>
      <c r="P143" s="61" t="n">
        <f>IFERROR(0+(IFERROR(P78/P39,0)),"待填")</f>
        <v>0</v>
      </c>
      <c r="Q143" s="61" t="n">
        <f>IFERROR(0+(IFERROR(Q78/Q39,0)),"待填")</f>
        <v>0</v>
      </c>
      <c r="R143" s="61" t="n">
        <f>IFERROR(0+(IFERROR(R78/R39,0)),"待填")</f>
        <v>0</v>
      </c>
      <c r="S143" s="61" t="n">
        <f>IFERROR(0+(IFERROR(S78/S39,0)),"待填")</f>
        <v>0</v>
      </c>
    </row>
    <row r="144" ht="18" customHeight="1">
      <c r="A144" s="2"/>
      <c r="B144" s="46" t="str"/>
      <c r="C144" s="38" t="str">
        <v>管理人员职工薪酬</v>
      </c>
      <c r="D144" s="76" t="n">
        <f>IFERROR(0+(IFERROR(D81/D39,0)),"待填")</f>
        <v>0</v>
      </c>
      <c r="E144" s="76" t="n">
        <f>IFERROR(0+(IFERROR(E81/E39,0)),"待填")</f>
        <v>0</v>
      </c>
      <c r="F144" s="76" t="n">
        <f>IFERROR(0+(IFERROR(F81/F39,0)),"待填")</f>
        <v>0</v>
      </c>
      <c r="G144" s="76" t="n">
        <f>IFERROR(0+(IFERROR(G81/G39,0)),"待填")</f>
        <v>0</v>
      </c>
      <c r="H144" s="76" t="n">
        <f>IFERROR(0+(IFERROR(H81/H39,0)),"待填")</f>
        <v>0</v>
      </c>
      <c r="I144" s="76" t="n">
        <f>IFERROR(0+(IFERROR(I81/I39,0)),"待填")</f>
        <v>0</v>
      </c>
      <c r="J144" s="76" t="n">
        <f>IFERROR(0+(IFERROR(J81/J39,0)),"待填")</f>
        <v>0</v>
      </c>
      <c r="K144" s="76" t="n">
        <f>IFERROR(0+(IFERROR(K81/K39,0)),"待填")</f>
        <v>0</v>
      </c>
      <c r="L144" s="76" t="n">
        <f>IFERROR(0+(IFERROR(L81/L39,0)),"待填")</f>
        <v>0</v>
      </c>
      <c r="M144" s="76" t="n">
        <f>IFERROR(0+(IFERROR(M81/M39,0)),"待填")</f>
        <v>0</v>
      </c>
      <c r="N144" s="76" t="n">
        <f>IFERROR(0+(IFERROR(N81/N39,0)),"待填")</f>
        <v>0</v>
      </c>
      <c r="O144" s="76" t="n">
        <f>IFERROR(0+(IFERROR(O81/O39,0)),"待填")</f>
        <v>0</v>
      </c>
      <c r="P144" s="76" t="n">
        <f>IFERROR(0+(IFERROR(P81/P39,0)),"待填")</f>
        <v>0</v>
      </c>
      <c r="Q144" s="76" t="n">
        <f>IFERROR(0+(IFERROR(Q81/Q39,0)),"待填")</f>
        <v>0</v>
      </c>
      <c r="R144" s="76" t="n">
        <f>IFERROR(0+(IFERROR(R81/R39,0)),"待填")</f>
        <v>0</v>
      </c>
      <c r="S144" s="76" t="n">
        <f>IFERROR(0+(IFERROR(S81/S39,0)),"待填")</f>
        <v>0</v>
      </c>
    </row>
    <row r="145" ht="18" customHeight="1">
      <c r="A145" s="2"/>
      <c r="B145" s="46" t="str"/>
      <c r="C145" s="2" t="str">
        <v>—管理人员职工薪酬</v>
      </c>
      <c r="D145" s="61" t="n">
        <f>IFERROR(0+(IFERROR(D82/D39,0)),"待填")</f>
        <v>0</v>
      </c>
      <c r="E145" s="61" t="n">
        <f>IFERROR(0+(IFERROR(E82/E39,0)),"待填")</f>
        <v>0</v>
      </c>
      <c r="F145" s="61" t="n">
        <f>IFERROR(0+(IFERROR(F82/F39,0)),"待填")</f>
        <v>0</v>
      </c>
      <c r="G145" s="61" t="n">
        <f>IFERROR(0+(IFERROR(G82/G39,0)),"待填")</f>
        <v>0</v>
      </c>
      <c r="H145" s="61" t="n">
        <f>IFERROR(0+(IFERROR(H82/H39,0)),"待填")</f>
        <v>0</v>
      </c>
      <c r="I145" s="61" t="n">
        <f>IFERROR(0+(IFERROR(I82/I39,0)),"待填")</f>
        <v>0</v>
      </c>
      <c r="J145" s="61" t="n">
        <f>IFERROR(0+(IFERROR(J82/J39,0)),"待填")</f>
        <v>0</v>
      </c>
      <c r="K145" s="61" t="n">
        <f>IFERROR(0+(IFERROR(K82/K39,0)),"待填")</f>
        <v>0</v>
      </c>
      <c r="L145" s="61" t="n">
        <f>IFERROR(0+(IFERROR(L82/L39,0)),"待填")</f>
        <v>0</v>
      </c>
      <c r="M145" s="61" t="n">
        <f>IFERROR(0+(IFERROR(M82/M39,0)),"待填")</f>
        <v>0</v>
      </c>
      <c r="N145" s="61" t="n">
        <f>IFERROR(0+(IFERROR(N82/N39,0)),"待填")</f>
        <v>0</v>
      </c>
      <c r="O145" s="61" t="n">
        <f>IFERROR(0+(IFERROR(O82/O39,0)),"待填")</f>
        <v>0</v>
      </c>
      <c r="P145" s="61" t="n">
        <f>IFERROR(0+(IFERROR(P82/P39,0)),"待填")</f>
        <v>0</v>
      </c>
      <c r="Q145" s="61" t="n">
        <f>IFERROR(0+(IFERROR(Q82/Q39,0)),"待填")</f>
        <v>0</v>
      </c>
      <c r="R145" s="61" t="n">
        <f>IFERROR(0+(IFERROR(R82/R39,0)),"待填")</f>
        <v>0</v>
      </c>
      <c r="S145" s="61" t="n">
        <f>IFERROR(0+(IFERROR(S82/S39,0)),"待填")</f>
        <v>0</v>
      </c>
    </row>
    <row r="146" ht="18" customHeight="1">
      <c r="A146" s="2"/>
      <c r="B146" s="46" t="str"/>
      <c r="C146" s="2" t="str">
        <v>—管理人员股份支付</v>
      </c>
      <c r="D146" s="61" t="n">
        <f>IFERROR(0+(IFERROR(D83/D39,0)),"待填")</f>
        <v>0</v>
      </c>
      <c r="E146" s="61" t="n">
        <f>IFERROR(0+(IFERROR(E83/E39,0)),"待填")</f>
        <v>0</v>
      </c>
      <c r="F146" s="61" t="n">
        <f>IFERROR(0+(IFERROR(F83/F39,0)),"待填")</f>
        <v>0</v>
      </c>
      <c r="G146" s="61" t="n">
        <f>IFERROR(0+(IFERROR(G83/G39,0)),"待填")</f>
        <v>0</v>
      </c>
      <c r="H146" s="61" t="n">
        <f>IFERROR(0+(IFERROR(H83/H39,0)),"待填")</f>
        <v>0</v>
      </c>
      <c r="I146" s="61" t="n">
        <f>IFERROR(0+(IFERROR(I83/I39,0)),"待填")</f>
        <v>0</v>
      </c>
      <c r="J146" s="61" t="n">
        <f>IFERROR(0+(IFERROR(J83/J39,0)),"待填")</f>
        <v>0</v>
      </c>
      <c r="K146" s="61" t="n">
        <f>IFERROR(0+(IFERROR(K83/K39,0)),"待填")</f>
        <v>0</v>
      </c>
      <c r="L146" s="61" t="n">
        <f>IFERROR(0+(IFERROR(L83/L39,0)),"待填")</f>
        <v>0</v>
      </c>
      <c r="M146" s="61" t="n">
        <f>IFERROR(0+(IFERROR(M83/M39,0)),"待填")</f>
        <v>0</v>
      </c>
      <c r="N146" s="61" t="n">
        <f>IFERROR(0+(IFERROR(N83/N39,0)),"待填")</f>
        <v>0</v>
      </c>
      <c r="O146" s="61" t="n">
        <f>IFERROR(0+(IFERROR(O83/O39,0)),"待填")</f>
        <v>0</v>
      </c>
      <c r="P146" s="61" t="n">
        <f>IFERROR(0+(IFERROR(P83/P39,0)),"待填")</f>
        <v>0</v>
      </c>
      <c r="Q146" s="61" t="n">
        <f>IFERROR(0+(IFERROR(Q83/Q39,0)),"待填")</f>
        <v>0</v>
      </c>
      <c r="R146" s="61" t="n">
        <f>IFERROR(0+(IFERROR(R83/R39,0)),"待填")</f>
        <v>0</v>
      </c>
      <c r="S146" s="61" t="n">
        <f>IFERROR(0+(IFERROR(S83/S39,0)),"待填")</f>
        <v>0</v>
      </c>
    </row>
    <row r="147" ht="18" customHeight="1">
      <c r="A147" s="2"/>
      <c r="B147" s="46" t="str"/>
      <c r="C147" s="38" t="str">
        <v>研发人员职工薪酬</v>
      </c>
      <c r="D147" s="76" t="n">
        <f>IFERROR(0+(IFERROR(D86/D39,0)),"待填")</f>
        <v>0</v>
      </c>
      <c r="E147" s="76" t="n">
        <f>IFERROR(0+(IFERROR(E86/E39,0)),"待填")</f>
        <v>0</v>
      </c>
      <c r="F147" s="76" t="n">
        <f>IFERROR(0+(IFERROR(F86/F39,0)),"待填")</f>
        <v>0</v>
      </c>
      <c r="G147" s="76" t="n">
        <f>IFERROR(0+(IFERROR(G86/G39,0)),"待填")</f>
        <v>0</v>
      </c>
      <c r="H147" s="76" t="n">
        <f>IFERROR(0+(IFERROR(H86/H39,0)),"待填")</f>
        <v>0</v>
      </c>
      <c r="I147" s="76" t="n">
        <f>IFERROR(0+(IFERROR(I86/I39,0)),"待填")</f>
        <v>0</v>
      </c>
      <c r="J147" s="76" t="n">
        <f>IFERROR(0+(IFERROR(J86/J39,0)),"待填")</f>
        <v>0</v>
      </c>
      <c r="K147" s="76" t="n">
        <f>IFERROR(0+(IFERROR(K86/K39,0)),"待填")</f>
        <v>0</v>
      </c>
      <c r="L147" s="76" t="n">
        <f>IFERROR(0+(IFERROR(L86/L39,0)),"待填")</f>
        <v>0</v>
      </c>
      <c r="M147" s="76" t="n">
        <f>IFERROR(0+(IFERROR(M86/M39,0)),"待填")</f>
        <v>0</v>
      </c>
      <c r="N147" s="76" t="n">
        <f>IFERROR(0+(IFERROR(N86/N39,0)),"待填")</f>
        <v>0</v>
      </c>
      <c r="O147" s="76" t="n">
        <f>IFERROR(0+(IFERROR(O86/O39,0)),"待填")</f>
        <v>0</v>
      </c>
      <c r="P147" s="76" t="n">
        <f>IFERROR(0+(IFERROR(P86/P39,0)),"待填")</f>
        <v>0</v>
      </c>
      <c r="Q147" s="76" t="n">
        <f>IFERROR(0+(IFERROR(Q86/Q39,0)),"待填")</f>
        <v>0</v>
      </c>
      <c r="R147" s="76" t="n">
        <f>IFERROR(0+(IFERROR(R86/R39,0)),"待填")</f>
        <v>0</v>
      </c>
      <c r="S147" s="76" t="n">
        <f>IFERROR(0+(IFERROR(S86/S39,0)),"待填")</f>
        <v>0</v>
      </c>
    </row>
    <row r="148" ht="18" customHeight="1">
      <c r="A148" s="2"/>
      <c r="B148" s="46" t="str"/>
      <c r="C148" s="2" t="str">
        <v>—研发人员职工薪酬</v>
      </c>
      <c r="D148" s="61" t="n">
        <f>IFERROR(0+(IFERROR(D87/D39,0)),"待填")</f>
        <v>0</v>
      </c>
      <c r="E148" s="61" t="n">
        <f>IFERROR(0+(IFERROR(E87/E39,0)),"待填")</f>
        <v>0</v>
      </c>
      <c r="F148" s="61" t="n">
        <f>IFERROR(0+(IFERROR(F87/F39,0)),"待填")</f>
        <v>0</v>
      </c>
      <c r="G148" s="61" t="n">
        <f>IFERROR(0+(IFERROR(G87/G39,0)),"待填")</f>
        <v>0</v>
      </c>
      <c r="H148" s="61" t="n">
        <f>IFERROR(0+(IFERROR(H87/H39,0)),"待填")</f>
        <v>0</v>
      </c>
      <c r="I148" s="61" t="n">
        <f>IFERROR(0+(IFERROR(I87/I39,0)),"待填")</f>
        <v>0</v>
      </c>
      <c r="J148" s="61" t="n">
        <f>IFERROR(0+(IFERROR(J87/J39,0)),"待填")</f>
        <v>0</v>
      </c>
      <c r="K148" s="61" t="n">
        <f>IFERROR(0+(IFERROR(K87/K39,0)),"待填")</f>
        <v>0</v>
      </c>
      <c r="L148" s="61" t="n">
        <f>IFERROR(0+(IFERROR(L87/L39,0)),"待填")</f>
        <v>0</v>
      </c>
      <c r="M148" s="61" t="n">
        <f>IFERROR(0+(IFERROR(M87/M39,0)),"待填")</f>
        <v>0</v>
      </c>
      <c r="N148" s="61" t="n">
        <f>IFERROR(0+(IFERROR(N87/N39,0)),"待填")</f>
        <v>0</v>
      </c>
      <c r="O148" s="61" t="n">
        <f>IFERROR(0+(IFERROR(O87/O39,0)),"待填")</f>
        <v>0</v>
      </c>
      <c r="P148" s="61" t="n">
        <f>IFERROR(0+(IFERROR(P87/P39,0)),"待填")</f>
        <v>0</v>
      </c>
      <c r="Q148" s="61" t="n">
        <f>IFERROR(0+(IFERROR(Q87/Q39,0)),"待填")</f>
        <v>0</v>
      </c>
      <c r="R148" s="61" t="n">
        <f>IFERROR(0+(IFERROR(R87/R39,0)),"待填")</f>
        <v>0</v>
      </c>
      <c r="S148" s="61" t="n">
        <f>IFERROR(0+(IFERROR(S87/S39,0)),"待填")</f>
        <v>0</v>
      </c>
    </row>
    <row r="149" ht="18" customHeight="1">
      <c r="A149" s="2"/>
      <c r="B149" s="46" t="str"/>
      <c r="C149" s="2" t="str">
        <v>—研发人员股份支付</v>
      </c>
      <c r="D149" s="61" t="n">
        <f>IFERROR(0+(IFERROR(D88/D39,0)),"待填")</f>
        <v>0</v>
      </c>
      <c r="E149" s="61" t="n">
        <f>IFERROR(0+(IFERROR(E88/E39,0)),"待填")</f>
        <v>0</v>
      </c>
      <c r="F149" s="61" t="n">
        <f>IFERROR(0+(IFERROR(F88/F39,0)),"待填")</f>
        <v>0</v>
      </c>
      <c r="G149" s="61" t="n">
        <f>IFERROR(0+(IFERROR(G88/G39,0)),"待填")</f>
        <v>0</v>
      </c>
      <c r="H149" s="61" t="n">
        <f>IFERROR(0+(IFERROR(H88/H39,0)),"待填")</f>
        <v>0</v>
      </c>
      <c r="I149" s="61" t="n">
        <f>IFERROR(0+(IFERROR(I88/I39,0)),"待填")</f>
        <v>0</v>
      </c>
      <c r="J149" s="61" t="n">
        <f>IFERROR(0+(IFERROR(J88/J39,0)),"待填")</f>
        <v>0</v>
      </c>
      <c r="K149" s="61" t="n">
        <f>IFERROR(0+(IFERROR(K88/K39,0)),"待填")</f>
        <v>0</v>
      </c>
      <c r="L149" s="61" t="n">
        <f>IFERROR(0+(IFERROR(L88/L39,0)),"待填")</f>
        <v>0</v>
      </c>
      <c r="M149" s="61" t="n">
        <f>IFERROR(0+(IFERROR(M88/M39,0)),"待填")</f>
        <v>0</v>
      </c>
      <c r="N149" s="61" t="n">
        <f>IFERROR(0+(IFERROR(N88/N39,0)),"待填")</f>
        <v>0</v>
      </c>
      <c r="O149" s="61" t="n">
        <f>IFERROR(0+(IFERROR(O88/O39,0)),"待填")</f>
        <v>0</v>
      </c>
      <c r="P149" s="61" t="n">
        <f>IFERROR(0+(IFERROR(P88/P39,0)),"待填")</f>
        <v>0</v>
      </c>
      <c r="Q149" s="61" t="n">
        <f>IFERROR(0+(IFERROR(Q88/Q39,0)),"待填")</f>
        <v>0</v>
      </c>
      <c r="R149" s="61" t="n">
        <f>IFERROR(0+(IFERROR(R88/R39,0)),"待填")</f>
        <v>0</v>
      </c>
      <c r="S149" s="61" t="n">
        <f>IFERROR(0+(IFERROR(S88/S39,0)),"待填")</f>
        <v>0</v>
      </c>
    </row>
    <row r="150" ht="18" customHeight="1">
      <c r="A150" s="2"/>
      <c r="B150" s="46" t="str"/>
      <c r="C150" s="59" t="str">
        <v>供应商（含委外加工）</v>
      </c>
      <c r="D150" s="74" t="n">
        <f>IFERROR(0+(IFERROR(D91/D39,0)),"待填")</f>
        <v>0</v>
      </c>
      <c r="E150" s="74" t="n">
        <f>IFERROR(0+(IFERROR(E91/E39,0)),"待填")</f>
        <v>0</v>
      </c>
      <c r="F150" s="74" t="n">
        <f>IFERROR(0+(IFERROR(F91/F39,0)),"待填")</f>
        <v>0</v>
      </c>
      <c r="G150" s="74" t="n">
        <f>IFERROR(0+(IFERROR(G91/G39,0)),"待填")</f>
        <v>0</v>
      </c>
      <c r="H150" s="74" t="n">
        <f>IFERROR(0+(IFERROR(H91/H39,0)),"待填")</f>
        <v>0</v>
      </c>
      <c r="I150" s="74" t="n">
        <f>IFERROR(0+(IFERROR(I91/I39,0)),"待填")</f>
        <v>0</v>
      </c>
      <c r="J150" s="74" t="n">
        <f>IFERROR(0+(IFERROR(J91/J39,0)),"待填")</f>
        <v>0</v>
      </c>
      <c r="K150" s="74" t="n">
        <f>IFERROR(0+(IFERROR(K91/K39,0)),"待填")</f>
        <v>0</v>
      </c>
      <c r="L150" s="74" t="n">
        <f>IFERROR(0+(IFERROR(L91/L39,0)),"待填")</f>
        <v>0</v>
      </c>
      <c r="M150" s="74" t="n">
        <f>IFERROR(0+(IFERROR(M91/M39,0)),"待填")</f>
        <v>0</v>
      </c>
      <c r="N150" s="74" t="n">
        <f>IFERROR(0+(IFERROR(N91/N39,0)),"待填")</f>
        <v>0</v>
      </c>
      <c r="O150" s="74" t="n">
        <f>IFERROR(0+(IFERROR(O91/O39,0)),"待填")</f>
        <v>0</v>
      </c>
      <c r="P150" s="74" t="n">
        <f>IFERROR(0+(IFERROR(P91/P39,0)),"待填")</f>
        <v>0</v>
      </c>
      <c r="Q150" s="74" t="n">
        <f>IFERROR(0+(IFERROR(Q91/Q39,0)),"待填")</f>
        <v>0</v>
      </c>
      <c r="R150" s="74" t="n">
        <f>IFERROR(0+(IFERROR(R91/R39,0)),"待填")</f>
        <v>0</v>
      </c>
      <c r="S150" s="74" t="n">
        <f>IFERROR(0+(IFERROR(S91/S39,0)),"待填")</f>
        <v>0</v>
      </c>
    </row>
    <row r="151" ht="18" customHeight="1">
      <c r="A151" s="2"/>
      <c r="B151" s="46" t="str"/>
      <c r="C151" s="59" t="str">
        <v>银行</v>
      </c>
      <c r="D151" s="74" t="n">
        <f>IFERROR(0+(IFERROR(D92/D39,0)),"待填")</f>
        <v>0</v>
      </c>
      <c r="E151" s="74" t="n">
        <f>IFERROR(0+(IFERROR(E92/E39,0)),"待填")</f>
        <v>0</v>
      </c>
      <c r="F151" s="74" t="n">
        <f>IFERROR(0+(IFERROR(F92/F39,0)),"待填")</f>
        <v>0</v>
      </c>
      <c r="G151" s="74" t="n">
        <f>IFERROR(0+(IFERROR(G92/G39,0)),"待填")</f>
        <v>0</v>
      </c>
      <c r="H151" s="74" t="n">
        <f>IFERROR(0+(IFERROR(H92/H39,0)),"待填")</f>
        <v>0</v>
      </c>
      <c r="I151" s="74" t="n">
        <f>IFERROR(0+(IFERROR(I92/I39,0)),"待填")</f>
        <v>0</v>
      </c>
      <c r="J151" s="74" t="n">
        <f>IFERROR(0+(IFERROR(J92/J39,0)),"待填")</f>
        <v>0</v>
      </c>
      <c r="K151" s="74" t="n">
        <f>IFERROR(0+(IFERROR(K92/K39,0)),"待填")</f>
        <v>0</v>
      </c>
      <c r="L151" s="74" t="n">
        <f>IFERROR(0+(IFERROR(L92/L39,0)),"待填")</f>
        <v>0</v>
      </c>
      <c r="M151" s="74" t="n">
        <f>IFERROR(0+(IFERROR(M92/M39,0)),"待填")</f>
        <v>0</v>
      </c>
      <c r="N151" s="74" t="n">
        <f>IFERROR(0+(IFERROR(N92/N39,0)),"待填")</f>
        <v>0</v>
      </c>
      <c r="O151" s="74" t="n">
        <f>IFERROR(0+(IFERROR(O92/O39,0)),"待填")</f>
        <v>0</v>
      </c>
      <c r="P151" s="74" t="n">
        <f>IFERROR(0+(IFERROR(P92/P39,0)),"待填")</f>
        <v>0</v>
      </c>
      <c r="Q151" s="74" t="n">
        <f>IFERROR(0+(IFERROR(Q92/Q39,0)),"待填")</f>
        <v>0</v>
      </c>
      <c r="R151" s="74" t="n">
        <f>IFERROR(0+(IFERROR(R92/R39,0)),"待填")</f>
        <v>0</v>
      </c>
      <c r="S151" s="74" t="n">
        <f>IFERROR(0+(IFERROR(S92/S39,0)),"待填")</f>
        <v>0</v>
      </c>
    </row>
    <row r="152" ht="18" customHeight="1">
      <c r="A152" s="2"/>
      <c r="B152" s="46" t="str"/>
      <c r="C152" s="59" t="str">
        <v>政府</v>
      </c>
      <c r="D152" s="74" t="n">
        <f>IFERROR(0+(IFERROR(D93/D39,0)),"待填")</f>
        <v>0</v>
      </c>
      <c r="E152" s="74" t="n">
        <f>IFERROR(0+(IFERROR(E93/E39,0)),"待填")</f>
        <v>0</v>
      </c>
      <c r="F152" s="74" t="n">
        <f>IFERROR(0+(IFERROR(F93/F39,0)),"待填")</f>
        <v>0</v>
      </c>
      <c r="G152" s="74" t="n">
        <f>IFERROR(0+(IFERROR(G93/G39,0)),"待填")</f>
        <v>0</v>
      </c>
      <c r="H152" s="74" t="n">
        <f>IFERROR(0+(IFERROR(H93/H39,0)),"待填")</f>
        <v>0</v>
      </c>
      <c r="I152" s="74" t="n">
        <f>IFERROR(0+(IFERROR(I93/I39,0)),"待填")</f>
        <v>0</v>
      </c>
      <c r="J152" s="74" t="n">
        <f>IFERROR(0+(IFERROR(J93/J39,0)),"待填")</f>
        <v>0</v>
      </c>
      <c r="K152" s="74" t="n">
        <f>IFERROR(0+(IFERROR(K93/K39,0)),"待填")</f>
        <v>0</v>
      </c>
      <c r="L152" s="74" t="n">
        <f>IFERROR(0+(IFERROR(L93/L39,0)),"待填")</f>
        <v>0</v>
      </c>
      <c r="M152" s="74" t="n">
        <f>IFERROR(0+(IFERROR(M93/M39,0)),"待填")</f>
        <v>0</v>
      </c>
      <c r="N152" s="74" t="n">
        <f>IFERROR(0+(IFERROR(N93/N39,0)),"待填")</f>
        <v>0</v>
      </c>
      <c r="O152" s="74" t="n">
        <f>IFERROR(0+(IFERROR(O93/O39,0)),"待填")</f>
        <v>0</v>
      </c>
      <c r="P152" s="74" t="n">
        <f>IFERROR(0+(IFERROR(P93/P39,0)),"待填")</f>
        <v>0</v>
      </c>
      <c r="Q152" s="74" t="n">
        <f>IFERROR(0+(IFERROR(Q93/Q39,0)),"待填")</f>
        <v>0</v>
      </c>
      <c r="R152" s="74" t="n">
        <f>IFERROR(0+(IFERROR(R93/R39,0)),"待填")</f>
        <v>0</v>
      </c>
      <c r="S152" s="74" t="n">
        <f>IFERROR(0+(IFERROR(S93/S39,0)),"待填")</f>
        <v>0</v>
      </c>
    </row>
    <row r="153" ht="18" customHeight="1">
      <c r="A153" s="2"/>
      <c r="B153" s="46" t="str"/>
      <c r="C153" s="2" t="str">
        <v>—税金及附加</v>
      </c>
      <c r="D153" s="61" t="n">
        <f>IFERROR(0+(IFERROR(D94/D39,0)),"待填")</f>
        <v>0</v>
      </c>
      <c r="E153" s="61" t="n">
        <f>IFERROR(0+(IFERROR(E94/E39,0)),"待填")</f>
        <v>0</v>
      </c>
      <c r="F153" s="61" t="n">
        <f>IFERROR(0+(IFERROR(F94/F39,0)),"待填")</f>
        <v>0</v>
      </c>
      <c r="G153" s="61" t="n">
        <f>IFERROR(0+(IFERROR(G94/G39,0)),"待填")</f>
        <v>0</v>
      </c>
      <c r="H153" s="61" t="n">
        <f>IFERROR(0+(IFERROR(H94/H39,0)),"待填")</f>
        <v>0</v>
      </c>
      <c r="I153" s="61" t="n">
        <f>IFERROR(0+(IFERROR(I94/I39,0)),"待填")</f>
        <v>0</v>
      </c>
      <c r="J153" s="61" t="n">
        <f>IFERROR(0+(IFERROR(J94/J39,0)),"待填")</f>
        <v>0</v>
      </c>
      <c r="K153" s="61" t="n">
        <f>IFERROR(0+(IFERROR(K94/K39,0)),"待填")</f>
        <v>0</v>
      </c>
      <c r="L153" s="61" t="n">
        <f>IFERROR(0+(IFERROR(L94/L39,0)),"待填")</f>
        <v>0</v>
      </c>
      <c r="M153" s="61" t="n">
        <f>IFERROR(0+(IFERROR(M94/M39,0)),"待填")</f>
        <v>0</v>
      </c>
      <c r="N153" s="61" t="n">
        <f>IFERROR(0+(IFERROR(N94/N39,0)),"待填")</f>
        <v>0</v>
      </c>
      <c r="O153" s="61" t="n">
        <f>IFERROR(0+(IFERROR(O94/O39,0)),"待填")</f>
        <v>0</v>
      </c>
      <c r="P153" s="61" t="n">
        <f>IFERROR(0+(IFERROR(P94/P39,0)),"待填")</f>
        <v>0</v>
      </c>
      <c r="Q153" s="61" t="n">
        <f>IFERROR(0+(IFERROR(Q94/Q39,0)),"待填")</f>
        <v>0</v>
      </c>
      <c r="R153" s="61" t="n">
        <f>IFERROR(0+(IFERROR(R94/R39,0)),"待填")</f>
        <v>0</v>
      </c>
      <c r="S153" s="61" t="n">
        <f>IFERROR(0+(IFERROR(S94/S39,0)),"待填")</f>
        <v>0</v>
      </c>
    </row>
    <row r="154" ht="18" customHeight="1">
      <c r="A154" s="2"/>
      <c r="B154" s="46" t="str"/>
      <c r="C154" s="2" t="str">
        <v>—所得税费用</v>
      </c>
      <c r="D154" s="61" t="n">
        <f>IFERROR(0+(IFERROR(D95/D39,0)),"待填")</f>
        <v>0</v>
      </c>
      <c r="E154" s="61" t="n">
        <f>IFERROR(0+(IFERROR(E95/E39,0)),"待填")</f>
        <v>0</v>
      </c>
      <c r="F154" s="61" t="n">
        <f>IFERROR(0+(IFERROR(F95/F39,0)),"待填")</f>
        <v>0</v>
      </c>
      <c r="G154" s="61" t="n">
        <f>IFERROR(0+(IFERROR(G95/G39,0)),"待填")</f>
        <v>0</v>
      </c>
      <c r="H154" s="61" t="n">
        <f>IFERROR(0+(IFERROR(H95/H39,0)),"待填")</f>
        <v>0</v>
      </c>
      <c r="I154" s="61" t="n">
        <f>IFERROR(0+(IFERROR(I95/I39,0)),"待填")</f>
        <v>0</v>
      </c>
      <c r="J154" s="61" t="n">
        <f>IFERROR(0+(IFERROR(J95/J39,0)),"待填")</f>
        <v>0</v>
      </c>
      <c r="K154" s="61" t="n">
        <f>IFERROR(0+(IFERROR(K95/K39,0)),"待填")</f>
        <v>0</v>
      </c>
      <c r="L154" s="61" t="n">
        <f>IFERROR(0+(IFERROR(L95/L39,0)),"待填")</f>
        <v>0</v>
      </c>
      <c r="M154" s="61" t="n">
        <f>IFERROR(0+(IFERROR(M95/M39,0)),"待填")</f>
        <v>0</v>
      </c>
      <c r="N154" s="61" t="n">
        <f>IFERROR(0+(IFERROR(N95/N39,0)),"待填")</f>
        <v>0</v>
      </c>
      <c r="O154" s="61" t="n">
        <f>IFERROR(0+(IFERROR(O95/O39,0)),"待填")</f>
        <v>0</v>
      </c>
      <c r="P154" s="61" t="n">
        <f>IFERROR(0+(IFERROR(P95/P39,0)),"待填")</f>
        <v>0</v>
      </c>
      <c r="Q154" s="61" t="n">
        <f>IFERROR(0+(IFERROR(Q95/Q39,0)),"待填")</f>
        <v>0</v>
      </c>
      <c r="R154" s="61" t="n">
        <f>IFERROR(0+(IFERROR(R95/R39,0)),"待填")</f>
        <v>0</v>
      </c>
      <c r="S154" s="61" t="n">
        <f>IFERROR(0+(IFERROR(S95/S39,0)),"待填")</f>
        <v>0</v>
      </c>
    </row>
    <row r="155" ht="18" customHeight="1">
      <c r="A155" s="2"/>
      <c r="B155" s="46" t="str"/>
      <c r="C155" s="59" t="str">
        <v>折旧</v>
      </c>
      <c r="D155" s="74" t="n">
        <f>IFERROR(0+(IFERROR(D96/D39,0)),"待填")</f>
        <v>0</v>
      </c>
      <c r="E155" s="74" t="n">
        <f>IFERROR(0+(IFERROR(E96/E39,0)),"待填")</f>
        <v>0</v>
      </c>
      <c r="F155" s="74" t="n">
        <f>IFERROR(0+(IFERROR(F96/F39,0)),"待填")</f>
        <v>0</v>
      </c>
      <c r="G155" s="74" t="n">
        <f>IFERROR(0+(IFERROR(G96/G39,0)),"待填")</f>
        <v>0</v>
      </c>
      <c r="H155" s="74" t="n">
        <f>IFERROR(0+(IFERROR(H96/H39,0)),"待填")</f>
        <v>0</v>
      </c>
      <c r="I155" s="74" t="n">
        <f>IFERROR(0+(IFERROR(I96/I39,0)),"待填")</f>
        <v>0</v>
      </c>
      <c r="J155" s="74" t="n">
        <f>IFERROR(0+(IFERROR(J96/J39,0)),"待填")</f>
        <v>0</v>
      </c>
      <c r="K155" s="74" t="n">
        <f>IFERROR(0+(IFERROR(K96/K39,0)),"待填")</f>
        <v>0</v>
      </c>
      <c r="L155" s="74" t="n">
        <f>IFERROR(0+(IFERROR(L96/L39,0)),"待填")</f>
        <v>0</v>
      </c>
      <c r="M155" s="74" t="n">
        <f>IFERROR(0+(IFERROR(M96/M39,0)),"待填")</f>
        <v>0</v>
      </c>
      <c r="N155" s="74" t="n">
        <f>IFERROR(0+(IFERROR(N96/N39,0)),"待填")</f>
        <v>0</v>
      </c>
      <c r="O155" s="74" t="n">
        <f>IFERROR(0+(IFERROR(O96/O39,0)),"待填")</f>
        <v>0</v>
      </c>
      <c r="P155" s="74" t="n">
        <f>IFERROR(0+(IFERROR(P96/P39,0)),"待填")</f>
        <v>0</v>
      </c>
      <c r="Q155" s="74" t="n">
        <f>IFERROR(0+(IFERROR(Q96/Q39,0)),"待填")</f>
        <v>0</v>
      </c>
      <c r="R155" s="74" t="n">
        <f>IFERROR(0+(IFERROR(R96/R39,0)),"待填")</f>
        <v>0</v>
      </c>
      <c r="S155" s="74" t="n">
        <f>IFERROR(0+(IFERROR(S96/S39,0)),"待填")</f>
        <v>0</v>
      </c>
    </row>
    <row r="156" ht="18" customHeight="1">
      <c r="A156" s="2"/>
      <c r="B156" s="46" t="str"/>
      <c r="C156" s="59" t="str">
        <v>摊销</v>
      </c>
      <c r="D156" s="74" t="n">
        <f>IFERROR(0+(IFERROR(D97/D39,0)),"待填")</f>
        <v>0</v>
      </c>
      <c r="E156" s="74" t="n">
        <f>IFERROR(0+(IFERROR(E97/E39,0)),"待填")</f>
        <v>0</v>
      </c>
      <c r="F156" s="74" t="n">
        <f>IFERROR(0+(IFERROR(F97/F39,0)),"待填")</f>
        <v>0</v>
      </c>
      <c r="G156" s="74" t="n">
        <f>IFERROR(0+(IFERROR(G97/G39,0)),"待填")</f>
        <v>0</v>
      </c>
      <c r="H156" s="74" t="n">
        <f>IFERROR(0+(IFERROR(H97/H39,0)),"待填")</f>
        <v>0</v>
      </c>
      <c r="I156" s="74" t="n">
        <f>IFERROR(0+(IFERROR(I97/I39,0)),"待填")</f>
        <v>0</v>
      </c>
      <c r="J156" s="74" t="n">
        <f>IFERROR(0+(IFERROR(J97/J39,0)),"待填")</f>
        <v>0</v>
      </c>
      <c r="K156" s="74" t="n">
        <f>IFERROR(0+(IFERROR(K97/K39,0)),"待填")</f>
        <v>0</v>
      </c>
      <c r="L156" s="74" t="n">
        <f>IFERROR(0+(IFERROR(L97/L39,0)),"待填")</f>
        <v>0</v>
      </c>
      <c r="M156" s="74" t="n">
        <f>IFERROR(0+(IFERROR(M97/M39,0)),"待填")</f>
        <v>0</v>
      </c>
      <c r="N156" s="74" t="n">
        <f>IFERROR(0+(IFERROR(N97/N39,0)),"待填")</f>
        <v>0</v>
      </c>
      <c r="O156" s="74" t="n">
        <f>IFERROR(0+(IFERROR(O97/O39,0)),"待填")</f>
        <v>0</v>
      </c>
      <c r="P156" s="74" t="n">
        <f>IFERROR(0+(IFERROR(P97/P39,0)),"待填")</f>
        <v>0</v>
      </c>
      <c r="Q156" s="74" t="n">
        <f>IFERROR(0+(IFERROR(Q97/Q39,0)),"待填")</f>
        <v>0</v>
      </c>
      <c r="R156" s="74" t="n">
        <f>IFERROR(0+(IFERROR(R97/R39,0)),"待填")</f>
        <v>0</v>
      </c>
      <c r="S156" s="74" t="n">
        <f>IFERROR(0+(IFERROR(S97/S39,0)),"待填")</f>
        <v>0</v>
      </c>
    </row>
    <row r="157" ht="18" customHeight="1">
      <c r="A157" s="2"/>
      <c r="B157" s="46" t="str"/>
      <c r="C157" s="2" t="str">
        <v>—无形资产摊销</v>
      </c>
      <c r="D157" s="61" t="n">
        <f>IFERROR(0+(IFERROR(D98/D39,0)),"待填")</f>
        <v>0</v>
      </c>
      <c r="E157" s="61" t="n">
        <f>IFERROR(0+(IFERROR(E98/E39,0)),"待填")</f>
        <v>0</v>
      </c>
      <c r="F157" s="61" t="n">
        <f>IFERROR(0+(IFERROR(F98/F39,0)),"待填")</f>
        <v>0</v>
      </c>
      <c r="G157" s="61" t="n">
        <f>IFERROR(0+(IFERROR(G98/G39,0)),"待填")</f>
        <v>0</v>
      </c>
      <c r="H157" s="61" t="n">
        <f>IFERROR(0+(IFERROR(H98/H39,0)),"待填")</f>
        <v>0</v>
      </c>
      <c r="I157" s="61" t="n">
        <f>IFERROR(0+(IFERROR(I98/I39,0)),"待填")</f>
        <v>0</v>
      </c>
      <c r="J157" s="61" t="n">
        <f>IFERROR(0+(IFERROR(J98/J39,0)),"待填")</f>
        <v>0</v>
      </c>
      <c r="K157" s="61" t="n">
        <f>IFERROR(0+(IFERROR(K98/K39,0)),"待填")</f>
        <v>0</v>
      </c>
      <c r="L157" s="61" t="n">
        <f>IFERROR(0+(IFERROR(L98/L39,0)),"待填")</f>
        <v>0</v>
      </c>
      <c r="M157" s="61" t="n">
        <f>IFERROR(0+(IFERROR(M98/M39,0)),"待填")</f>
        <v>0</v>
      </c>
      <c r="N157" s="61" t="n">
        <f>IFERROR(0+(IFERROR(N98/N39,0)),"待填")</f>
        <v>0</v>
      </c>
      <c r="O157" s="61" t="n">
        <f>IFERROR(0+(IFERROR(O98/O39,0)),"待填")</f>
        <v>0</v>
      </c>
      <c r="P157" s="61" t="n">
        <f>IFERROR(0+(IFERROR(P98/P39,0)),"待填")</f>
        <v>0</v>
      </c>
      <c r="Q157" s="61" t="n">
        <f>IFERROR(0+(IFERROR(Q98/Q39,0)),"待填")</f>
        <v>0</v>
      </c>
      <c r="R157" s="61" t="n">
        <f>IFERROR(0+(IFERROR(R98/R39,0)),"待填")</f>
        <v>0</v>
      </c>
      <c r="S157" s="61" t="n">
        <f>IFERROR(0+(IFERROR(S98/S39,0)),"待填")</f>
        <v>0</v>
      </c>
    </row>
    <row r="158" ht="18" customHeight="1">
      <c r="A158" s="2"/>
      <c r="B158" s="46" t="str"/>
      <c r="C158" s="2" t="str">
        <v>—长期待摊费用摊销</v>
      </c>
      <c r="D158" s="61" t="n">
        <f>IFERROR(0+(IFERROR(D99/D39,0)),"待填")</f>
        <v>0</v>
      </c>
      <c r="E158" s="61" t="n">
        <f>IFERROR(0+(IFERROR(E99/E39,0)),"待填")</f>
        <v>0</v>
      </c>
      <c r="F158" s="61" t="n">
        <f>IFERROR(0+(IFERROR(F99/F39,0)),"待填")</f>
        <v>0</v>
      </c>
      <c r="G158" s="61" t="n">
        <f>IFERROR(0+(IFERROR(G99/G39,0)),"待填")</f>
        <v>0</v>
      </c>
      <c r="H158" s="61" t="n">
        <f>IFERROR(0+(IFERROR(H99/H39,0)),"待填")</f>
        <v>0</v>
      </c>
      <c r="I158" s="61" t="n">
        <f>IFERROR(0+(IFERROR(I99/I39,0)),"待填")</f>
        <v>0</v>
      </c>
      <c r="J158" s="61" t="n">
        <f>IFERROR(0+(IFERROR(J99/J39,0)),"待填")</f>
        <v>0</v>
      </c>
      <c r="K158" s="61" t="n">
        <f>IFERROR(0+(IFERROR(K99/K39,0)),"待填")</f>
        <v>0</v>
      </c>
      <c r="L158" s="61" t="n">
        <f>IFERROR(0+(IFERROR(L99/L39,0)),"待填")</f>
        <v>0</v>
      </c>
      <c r="M158" s="61" t="n">
        <f>IFERROR(0+(IFERROR(M99/M39,0)),"待填")</f>
        <v>0</v>
      </c>
      <c r="N158" s="61" t="n">
        <f>IFERROR(0+(IFERROR(N99/N39,0)),"待填")</f>
        <v>0</v>
      </c>
      <c r="O158" s="61" t="n">
        <f>IFERROR(0+(IFERROR(O99/O39,0)),"待填")</f>
        <v>0</v>
      </c>
      <c r="P158" s="61" t="n">
        <f>IFERROR(0+(IFERROR(P99/P39,0)),"待填")</f>
        <v>0</v>
      </c>
      <c r="Q158" s="61" t="n">
        <f>IFERROR(0+(IFERROR(Q99/Q39,0)),"待填")</f>
        <v>0</v>
      </c>
      <c r="R158" s="61" t="n">
        <f>IFERROR(0+(IFERROR(R99/R39,0)),"待填")</f>
        <v>0</v>
      </c>
      <c r="S158" s="61" t="n">
        <f>IFERROR(0+(IFERROR(S99/S39,0)),"待填")</f>
        <v>0</v>
      </c>
    </row>
    <row r="159" ht="18" customHeight="1">
      <c r="A159" s="2"/>
      <c r="B159" s="46" t="str"/>
      <c r="C159" s="2" t="str">
        <v>—使用权资产折旧与摊销</v>
      </c>
      <c r="D159" s="61" t="n">
        <f>IFERROR(0+(IFERROR(D100/D39,0)),"待填")</f>
        <v>0</v>
      </c>
      <c r="E159" s="61" t="n">
        <f>IFERROR(0+(IFERROR(E100/E39,0)),"待填")</f>
        <v>0</v>
      </c>
      <c r="F159" s="61" t="n">
        <f>IFERROR(0+(IFERROR(F100/F39,0)),"待填")</f>
        <v>0</v>
      </c>
      <c r="G159" s="61" t="n">
        <f>IFERROR(0+(IFERROR(G100/G39,0)),"待填")</f>
        <v>0</v>
      </c>
      <c r="H159" s="61" t="n">
        <f>IFERROR(0+(IFERROR(H100/H39,0)),"待填")</f>
        <v>0</v>
      </c>
      <c r="I159" s="61" t="n">
        <f>IFERROR(0+(IFERROR(I100/I39,0)),"待填")</f>
        <v>0</v>
      </c>
      <c r="J159" s="61" t="n">
        <f>IFERROR(0+(IFERROR(J100/J39,0)),"待填")</f>
        <v>0</v>
      </c>
      <c r="K159" s="61" t="n">
        <f>IFERROR(0+(IFERROR(K100/K39,0)),"待填")</f>
        <v>0</v>
      </c>
      <c r="L159" s="61" t="n">
        <f>IFERROR(0+(IFERROR(L100/L39,0)),"待填")</f>
        <v>0</v>
      </c>
      <c r="M159" s="61" t="n">
        <f>IFERROR(0+(IFERROR(M100/M39,0)),"待填")</f>
        <v>0</v>
      </c>
      <c r="N159" s="61" t="n">
        <f>IFERROR(0+(IFERROR(N100/N39,0)),"待填")</f>
        <v>0</v>
      </c>
      <c r="O159" s="61" t="n">
        <f>IFERROR(0+(IFERROR(O100/O39,0)),"待填")</f>
        <v>0</v>
      </c>
      <c r="P159" s="61" t="n">
        <f>IFERROR(0+(IFERROR(P100/P39,0)),"待填")</f>
        <v>0</v>
      </c>
      <c r="Q159" s="61" t="n">
        <f>IFERROR(0+(IFERROR(Q100/Q39,0)),"待填")</f>
        <v>0</v>
      </c>
      <c r="R159" s="61" t="n">
        <f>IFERROR(0+(IFERROR(R100/R39,0)),"待填")</f>
        <v>0</v>
      </c>
      <c r="S159" s="61" t="n">
        <f>IFERROR(0+(IFERROR(S100/S39,0)),"待填")</f>
        <v>0</v>
      </c>
    </row>
    <row r="160" ht="18" customHeight="1">
      <c r="A160" s="2"/>
      <c r="B160" s="46" t="str"/>
      <c r="C160" s="59" t="str">
        <v>净利润-少数股东</v>
      </c>
      <c r="D160" s="74" t="n">
        <f>IFERROR(0+(IFERROR(D101/D39,0)),"待填")</f>
        <v>0</v>
      </c>
      <c r="E160" s="74" t="n">
        <f>IFERROR(0+(IFERROR(E101/E39,0)),"待填")</f>
        <v>0</v>
      </c>
      <c r="F160" s="74" t="n">
        <f>IFERROR(0+(IFERROR(F101/F39,0)),"待填")</f>
        <v>0</v>
      </c>
      <c r="G160" s="74" t="n">
        <f>IFERROR(0+(IFERROR(G101/G39,0)),"待填")</f>
        <v>0</v>
      </c>
      <c r="H160" s="74" t="n">
        <f>IFERROR(0+(IFERROR(H101/H39,0)),"待填")</f>
        <v>0</v>
      </c>
      <c r="I160" s="74" t="n">
        <f>IFERROR(0+(IFERROR(I101/I39,0)),"待填")</f>
        <v>0</v>
      </c>
      <c r="J160" s="74" t="n">
        <f>IFERROR(0+(IFERROR(J101/J39,0)),"待填")</f>
        <v>0</v>
      </c>
      <c r="K160" s="74" t="n">
        <f>IFERROR(0+(IFERROR(K101/K39,0)),"待填")</f>
        <v>0</v>
      </c>
      <c r="L160" s="74" t="n">
        <f>IFERROR(0+(IFERROR(L101/L39,0)),"待填")</f>
        <v>0</v>
      </c>
      <c r="M160" s="74" t="n">
        <f>IFERROR(0+(IFERROR(M101/M39,0)),"待填")</f>
        <v>0</v>
      </c>
      <c r="N160" s="74" t="n">
        <f>IFERROR(0+(IFERROR(N101/N39,0)),"待填")</f>
        <v>0</v>
      </c>
      <c r="O160" s="74" t="n">
        <f>IFERROR(0+(IFERROR(O101/O39,0)),"待填")</f>
        <v>0</v>
      </c>
      <c r="P160" s="74" t="n">
        <f>IFERROR(0+(IFERROR(P101/P39,0)),"待填")</f>
        <v>0</v>
      </c>
      <c r="Q160" s="74" t="n">
        <f>IFERROR(0+(IFERROR(Q101/Q39,0)),"待填")</f>
        <v>0</v>
      </c>
      <c r="R160" s="74" t="n">
        <f>IFERROR(0+(IFERROR(R101/R39,0)),"待填")</f>
        <v>0</v>
      </c>
      <c r="S160" s="74" t="n">
        <f>IFERROR(0+(IFERROR(S101/S39,0)),"待填")</f>
        <v>0</v>
      </c>
    </row>
    <row r="161" ht="18" customHeight="1">
      <c r="A161" s="2"/>
      <c r="B161" s="46" t="str"/>
      <c r="C161" s="59" t="str">
        <v>净利润-母公司股东</v>
      </c>
      <c r="D161" s="74" t="n">
        <f>IFERROR(0+(IFERROR(D102/D39,0)),"待填")</f>
        <v>0</v>
      </c>
      <c r="E161" s="74" t="n">
        <f>IFERROR(0+(IFERROR(E102/E39,0)),"待填")</f>
        <v>0</v>
      </c>
      <c r="F161" s="74" t="n">
        <f>IFERROR(0+(IFERROR(F102/F39,0)),"待填")</f>
        <v>0</v>
      </c>
      <c r="G161" s="74" t="n">
        <f>IFERROR(0+(IFERROR(G102/G39,0)),"待填")</f>
        <v>0</v>
      </c>
      <c r="H161" s="74" t="n">
        <f>IFERROR(0+(IFERROR(H102/H39,0)),"待填")</f>
        <v>0</v>
      </c>
      <c r="I161" s="74" t="n">
        <f>IFERROR(0+(IFERROR(I102/I39,0)),"待填")</f>
        <v>0</v>
      </c>
      <c r="J161" s="74" t="n">
        <f>IFERROR(0+(IFERROR(J102/J39,0)),"待填")</f>
        <v>0</v>
      </c>
      <c r="K161" s="74" t="n">
        <f>IFERROR(0+(IFERROR(K102/K39,0)),"待填")</f>
        <v>0</v>
      </c>
      <c r="L161" s="74" t="n">
        <f>IFERROR(0+(IFERROR(L102/L39,0)),"待填")</f>
        <v>0</v>
      </c>
      <c r="M161" s="74" t="n">
        <f>IFERROR(0+(IFERROR(M102/M39,0)),"待填")</f>
        <v>0</v>
      </c>
      <c r="N161" s="74" t="n">
        <f>IFERROR(0+(IFERROR(N102/N39,0)),"待填")</f>
        <v>0</v>
      </c>
      <c r="O161" s="74" t="n">
        <f>IFERROR(0+(IFERROR(O102/O39,0)),"待填")</f>
        <v>0</v>
      </c>
      <c r="P161" s="74" t="n">
        <f>IFERROR(0+(IFERROR(P102/P39,0)),"待填")</f>
        <v>0</v>
      </c>
      <c r="Q161" s="74" t="n">
        <f>IFERROR(0+(IFERROR(Q102/Q39,0)),"待填")</f>
        <v>0</v>
      </c>
      <c r="R161" s="74" t="n">
        <f>IFERROR(0+(IFERROR(R102/R39,0)),"待填")</f>
        <v>0</v>
      </c>
      <c r="S161" s="74" t="n">
        <f>IFERROR(0+(IFERROR(S102/S39,0)),"待填")</f>
        <v>0</v>
      </c>
    </row>
    <row r="162" ht="18" customHeight="1">
      <c r="A162" s="2"/>
      <c r="B162" s="46" t="str"/>
      <c r="C162" s="2" t="str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ht="18" customHeight="1">
      <c r="A163" s="2"/>
      <c r="B163" s="46" t="str"/>
      <c r="C163" s="2" t="str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ht="20" customHeight="1">
      <c r="A164" s="2"/>
      <c r="B164" s="46" t="str"/>
      <c r="C164" s="53" t="str">
        <v>附：折旧摊销、计算输入与勾稽复核</v>
      </c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</row>
    <row r="165" ht="21" customHeight="1">
      <c r="A165" s="2"/>
      <c r="B165" s="46" t="str"/>
      <c r="C165" s="54" t="str">
        <v>项目数额</v>
      </c>
      <c r="D165" s="55" t="str">
        <v>2010年</v>
      </c>
      <c r="E165" s="55" t="str">
        <v>2011年</v>
      </c>
      <c r="F165" s="55" t="str">
        <v>2012年</v>
      </c>
      <c r="G165" s="55" t="str">
        <v>2013年</v>
      </c>
      <c r="H165" s="55" t="str">
        <v>2014年</v>
      </c>
      <c r="I165" s="55" t="str">
        <v>2015年</v>
      </c>
      <c r="J165" s="55" t="str">
        <v>2016年</v>
      </c>
      <c r="K165" s="55" t="str">
        <v>2017年</v>
      </c>
      <c r="L165" s="55" t="str">
        <v>2018年</v>
      </c>
      <c r="M165" s="55" t="str">
        <v>2019年</v>
      </c>
      <c r="N165" s="55" t="str">
        <v>2020年</v>
      </c>
      <c r="O165" s="55" t="str">
        <v>2021年</v>
      </c>
      <c r="P165" s="55" t="str">
        <v>2022年</v>
      </c>
      <c r="Q165" s="55" t="str">
        <v>2023年</v>
      </c>
      <c r="R165" s="55" t="str">
        <v>2024年</v>
      </c>
      <c r="S165" s="55" t="str">
        <v>2025年</v>
      </c>
    </row>
    <row r="166" ht="18" customHeight="1">
      <c r="A166" s="2"/>
      <c r="B166" s="46" t="str"/>
      <c r="C166" s="2" t="str">
        <v>销售折旧摊销</v>
      </c>
      <c r="D166" s="44" t="n">
        <f>IFERROR(0+(0),"待填")</f>
        <v>0</v>
      </c>
      <c r="E166" s="44" t="n">
        <f>IFERROR(0+(0),"待填")</f>
        <v>0</v>
      </c>
      <c r="F166" s="44" t="n">
        <f>IFERROR(0+(0),"待填")</f>
        <v>0</v>
      </c>
      <c r="G166" s="44" t="n">
        <f>IFERROR(0+(0),"待填")</f>
        <v>0</v>
      </c>
      <c r="H166" s="44" t="n">
        <f>IFERROR(0+(0),"待填")</f>
        <v>0</v>
      </c>
      <c r="I166" s="44" t="n">
        <f>IFERROR(0+(0),"待填")</f>
        <v>0</v>
      </c>
      <c r="J166" s="44" t="n">
        <f>IFERROR(0+(0),"待填")</f>
        <v>0</v>
      </c>
      <c r="K166" s="44" t="n">
        <f>IFERROR(0+(0),"待填")</f>
        <v>0</v>
      </c>
      <c r="L166" s="44" t="n">
        <f>IFERROR(0+(0),"待填")</f>
        <v>0</v>
      </c>
      <c r="M166" s="44" t="n">
        <f>IFERROR(0+(0),"待填")</f>
        <v>0</v>
      </c>
      <c r="N166" s="44" t="n">
        <f>IFERROR(0+(0),"待填")</f>
        <v>0</v>
      </c>
      <c r="O166" s="44" t="n">
        <f>IFERROR(0+(0),"待填")</f>
        <v>0</v>
      </c>
      <c r="P166" s="44" t="n">
        <f>IFERROR(0+(0),"待填")</f>
        <v>0</v>
      </c>
      <c r="Q166" s="44" t="n">
        <f>IFERROR(0+(0),"待填")</f>
        <v>0</v>
      </c>
      <c r="R166" s="44" t="n">
        <f>IFERROR(0+(0),"待填")</f>
        <v>0</v>
      </c>
      <c r="S166" s="44" t="n">
        <f>IFERROR(0+(0),"待填")</f>
        <v>0</v>
      </c>
    </row>
    <row r="167" ht="18" customHeight="1">
      <c r="A167" s="2"/>
      <c r="B167" s="46" t="str"/>
      <c r="C167" s="2" t="str">
        <v>管理折旧摊销</v>
      </c>
      <c r="D167" s="44" t="n">
        <f>IFERROR(0+('示例公司附注底稿'!D19+'示例公司附注底稿'!D28),"待填")</f>
        <v>0</v>
      </c>
      <c r="E167" s="44" t="n">
        <f>IFERROR(0+('示例公司附注底稿'!E19+'示例公司附注底稿'!E28),"待填")</f>
        <v>0</v>
      </c>
      <c r="F167" s="44" t="n">
        <f>IFERROR(0+('示例公司附注底稿'!F19+'示例公司附注底稿'!F28),"待填")</f>
        <v>0</v>
      </c>
      <c r="G167" s="44" t="n">
        <f>IFERROR(0+('示例公司附注底稿'!G19+'示例公司附注底稿'!G28),"待填")</f>
        <v>0</v>
      </c>
      <c r="H167" s="44" t="n">
        <f>IFERROR(0+('示例公司附注底稿'!H19+'示例公司附注底稿'!H28),"待填")</f>
        <v>0</v>
      </c>
      <c r="I167" s="44" t="n">
        <f>IFERROR(0+('示例公司附注底稿'!I19+'示例公司附注底稿'!I28),"待填")</f>
        <v>0</v>
      </c>
      <c r="J167" s="44" t="n">
        <f>IFERROR(0+('示例公司附注底稿'!J19+'示例公司附注底稿'!J28),"待填")</f>
        <v>0</v>
      </c>
      <c r="K167" s="44" t="n">
        <f>IFERROR(0+('示例公司附注底稿'!K19+'示例公司附注底稿'!K28),"待填")</f>
        <v>0</v>
      </c>
      <c r="L167" s="44" t="n">
        <f>IFERROR(0+('示例公司附注底稿'!L19+'示例公司附注底稿'!L28),"待填")</f>
        <v>0</v>
      </c>
      <c r="M167" s="44" t="n">
        <f>IFERROR(0+('示例公司附注底稿'!M19+'示例公司附注底稿'!M28),"待填")</f>
        <v>0</v>
      </c>
      <c r="N167" s="44" t="n">
        <f>IFERROR(0+('示例公司附注底稿'!N19+'示例公司附注底稿'!N28),"待填")</f>
        <v>0</v>
      </c>
      <c r="O167" s="44" t="n">
        <f>IFERROR(0+('示例公司附注底稿'!O19+'示例公司附注底稿'!O28),"待填")</f>
        <v>0</v>
      </c>
      <c r="P167" s="44" t="n">
        <f>IFERROR(0+('示例公司附注底稿'!P19+'示例公司附注底稿'!P28),"待填")</f>
        <v>0</v>
      </c>
      <c r="Q167" s="44" t="n">
        <f>IFERROR(0+('示例公司附注底稿'!Q19+'示例公司附注底稿'!Q28),"待填")</f>
        <v>0</v>
      </c>
      <c r="R167" s="44" t="n">
        <f>IFERROR(0+('示例公司附注底稿'!R19+'示例公司附注底稿'!R28),"待填")</f>
        <v>0</v>
      </c>
      <c r="S167" s="44" t="n">
        <f>IFERROR(0+('示例公司附注底稿'!S19+'示例公司附注底稿'!S28),"待填")</f>
        <v>0</v>
      </c>
    </row>
    <row r="168" ht="18" customHeight="1">
      <c r="A168" s="2"/>
      <c r="B168" s="46" t="str"/>
      <c r="C168" s="2" t="str">
        <v>研发折旧摊销</v>
      </c>
      <c r="D168" s="44" t="n">
        <f>IFERROR(0+('示例公司附注底稿'!D33),"待填")</f>
        <v>0</v>
      </c>
      <c r="E168" s="44" t="n">
        <f>IFERROR(0+('示例公司附注底稿'!E33),"待填")</f>
        <v>0</v>
      </c>
      <c r="F168" s="44" t="n">
        <f>IFERROR(0+('示例公司附注底稿'!F33),"待填")</f>
        <v>0</v>
      </c>
      <c r="G168" s="44" t="n">
        <f>IFERROR(0+('示例公司附注底稿'!G33),"待填")</f>
        <v>0</v>
      </c>
      <c r="H168" s="44" t="n">
        <f>IFERROR(0+('示例公司附注底稿'!H33),"待填")</f>
        <v>0</v>
      </c>
      <c r="I168" s="44" t="n">
        <f>IFERROR(0+('示例公司附注底稿'!I33),"待填")</f>
        <v>0</v>
      </c>
      <c r="J168" s="44" t="n">
        <f>IFERROR(0+('示例公司附注底稿'!J33),"待填")</f>
        <v>0</v>
      </c>
      <c r="K168" s="44" t="n">
        <f>IFERROR(0+('示例公司附注底稿'!K33),"待填")</f>
        <v>0</v>
      </c>
      <c r="L168" s="44" t="n">
        <f>IFERROR(0+('示例公司附注底稿'!L33),"待填")</f>
        <v>0</v>
      </c>
      <c r="M168" s="44" t="n">
        <f>IFERROR(0+('示例公司附注底稿'!M33),"待填")</f>
        <v>0</v>
      </c>
      <c r="N168" s="44" t="n">
        <f>IFERROR(0+('示例公司附注底稿'!N33),"待填")</f>
        <v>0</v>
      </c>
      <c r="O168" s="44" t="n">
        <f>IFERROR(0+('示例公司附注底稿'!O33),"待填")</f>
        <v>0</v>
      </c>
      <c r="P168" s="44" t="n">
        <f>IFERROR(0+('示例公司附注底稿'!P33),"待填")</f>
        <v>0</v>
      </c>
      <c r="Q168" s="44" t="n">
        <f>IFERROR(0+('示例公司附注底稿'!Q33),"待填")</f>
        <v>0</v>
      </c>
      <c r="R168" s="44" t="n">
        <f>IFERROR(0+('示例公司附注底稿'!R33),"待填")</f>
        <v>0</v>
      </c>
      <c r="S168" s="44" t="n">
        <f>IFERROR(0+('示例公司附注底稿'!S33),"待填")</f>
        <v>0</v>
      </c>
    </row>
    <row r="169" ht="18" customHeight="1">
      <c r="A169" s="2"/>
      <c r="B169" s="46" t="str"/>
      <c r="C169" s="2" t="str">
        <v>应付职工薪酬期初</v>
      </c>
      <c r="D169" s="44"/>
      <c r="E169" s="44" t="n">
        <f>IFERROR(0+('示例公司三表'!D115/100),"待填")</f>
        <v>0</v>
      </c>
      <c r="F169" s="44" t="n">
        <f>IFERROR(0+('示例公司三表'!E115/100),"待填")</f>
        <v>0</v>
      </c>
      <c r="G169" s="44" t="n">
        <f>IFERROR(0+('示例公司三表'!F115/100),"待填")</f>
        <v>0</v>
      </c>
      <c r="H169" s="44" t="n">
        <f>IFERROR(0+('示例公司三表'!G115/100),"待填")</f>
        <v>0</v>
      </c>
      <c r="I169" s="44" t="n">
        <f>IFERROR(0+('示例公司三表'!H115/100),"待填")</f>
        <v>0</v>
      </c>
      <c r="J169" s="44" t="n">
        <f>IFERROR(0+('示例公司三表'!I115/100),"待填")</f>
        <v>0</v>
      </c>
      <c r="K169" s="44" t="n">
        <f>IFERROR(0+('示例公司三表'!J115/100),"待填")</f>
        <v>0</v>
      </c>
      <c r="L169" s="44" t="n">
        <f>IFERROR(0+('示例公司三表'!K115/100),"待填")</f>
        <v>0</v>
      </c>
      <c r="M169" s="44" t="n">
        <f>IFERROR(0+('示例公司三表'!L115/100),"待填")</f>
        <v>0</v>
      </c>
      <c r="N169" s="44" t="n">
        <f>IFERROR(0+('示例公司三表'!M115/100),"待填")</f>
        <v>0</v>
      </c>
      <c r="O169" s="44" t="n">
        <f>IFERROR(0+('示例公司三表'!N115/100),"待填")</f>
        <v>0</v>
      </c>
      <c r="P169" s="44" t="n">
        <f>IFERROR(0+('示例公司三表'!O115/100),"待填")</f>
        <v>0</v>
      </c>
      <c r="Q169" s="44" t="n">
        <f>IFERROR(0+('示例公司三表'!P115/100),"待填")</f>
        <v>0</v>
      </c>
      <c r="R169" s="44" t="n">
        <f>IFERROR(0+('示例公司三表'!Q115/100),"待填")</f>
        <v>0</v>
      </c>
      <c r="S169" s="44" t="n">
        <f>IFERROR(0+('示例公司三表'!R115/100),"待填")</f>
        <v>0</v>
      </c>
    </row>
    <row r="170" ht="18" customHeight="1">
      <c r="A170" s="2"/>
      <c r="B170" s="46" t="str"/>
      <c r="C170" s="77" t="str">
        <v>制造费用其他占收入假设</v>
      </c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</row>
    <row r="171" ht="18" customHeight="1">
      <c r="A171" s="2"/>
      <c r="B171" s="46" t="str"/>
      <c r="C171" s="2" t="str">
        <v>营业成本口径供应商（参考）</v>
      </c>
      <c r="D171" s="44" t="n">
        <f>IFERROR(0+('示例公司三表'!D12/100-D73-D96-D97+(D166+D167+D168)-D71),"待填")</f>
        <v>0</v>
      </c>
      <c r="E171" s="44" t="n">
        <f>IFERROR(0+('示例公司三表'!E12/100-E73-E96-E97+(E166+E167+E168)-E71),"待填")</f>
        <v>0</v>
      </c>
      <c r="F171" s="44" t="n">
        <f>IFERROR(0+('示例公司三表'!F12/100-F73-F96-F97+(F166+F167+F168)-F71),"待填")</f>
        <v>0</v>
      </c>
      <c r="G171" s="44" t="n">
        <f>IFERROR(0+('示例公司三表'!G12/100-G73-G96-G97+(G166+G167+G168)-G71),"待填")</f>
        <v>0</v>
      </c>
      <c r="H171" s="44" t="n">
        <f>IFERROR(0+('示例公司三表'!H12/100-H73-H96-H97+(H166+H167+H168)-H71),"待填")</f>
        <v>0</v>
      </c>
      <c r="I171" s="44" t="n">
        <f>IFERROR(0+('示例公司三表'!I12/100-I73-I96-I97+(I166+I167+I168)-I71),"待填")</f>
        <v>0</v>
      </c>
      <c r="J171" s="44" t="n">
        <f>IFERROR(0+('示例公司三表'!J12/100-J73-J96-J97+(J166+J167+J168)-J71),"待填")</f>
        <v>0</v>
      </c>
      <c r="K171" s="44" t="n">
        <f>IFERROR(0+('示例公司三表'!K12/100-K73-K96-K97+(K166+K167+K168)-K71),"待填")</f>
        <v>0</v>
      </c>
      <c r="L171" s="44" t="n">
        <f>IFERROR(0+('示例公司三表'!L12/100-L73-L96-L97+(L166+L167+L168)-L71),"待填")</f>
        <v>0</v>
      </c>
      <c r="M171" s="44" t="n">
        <f>IFERROR(0+('示例公司三表'!M12/100-M73-M96-M97+(M166+M167+M168)-M71),"待填")</f>
        <v>0</v>
      </c>
      <c r="N171" s="44" t="n">
        <f>IFERROR(0+('示例公司三表'!N12/100-N73-N96-N97+(N166+N167+N168)-N71),"待填")</f>
        <v>0</v>
      </c>
      <c r="O171" s="44" t="n">
        <f>IFERROR(0+('示例公司三表'!O12/100-O73-O96-O97+(O166+O167+O168)-O71),"待填")</f>
        <v>0</v>
      </c>
      <c r="P171" s="44" t="n">
        <f>IFERROR(0+('示例公司三表'!P12/100-P73-P96-P97+(P166+P167+P168)-P71),"待填")</f>
        <v>0</v>
      </c>
      <c r="Q171" s="44" t="n">
        <f>IFERROR(0+('示例公司三表'!Q12/100-Q73-Q96-Q97+(Q166+Q167+Q168)-Q71),"待填")</f>
        <v>0</v>
      </c>
      <c r="R171" s="44" t="n">
        <f>IFERROR(0+('示例公司三表'!R12/100-R73-R96-R97+(R166+R167+R168)-R71),"待填")</f>
        <v>0</v>
      </c>
      <c r="S171" s="44" t="n">
        <f>IFERROR(0+('示例公司三表'!S12/100-S73-S96-S97+(S166+S167+S168)-S71),"待填")</f>
        <v>0</v>
      </c>
    </row>
    <row r="172" ht="18" customHeight="1">
      <c r="A172" s="2"/>
      <c r="B172" s="46" t="str"/>
      <c r="C172" s="2" t="str">
        <v>口径残差（已并入供应商）</v>
      </c>
      <c r="D172" s="44" t="n">
        <f>IFERROR(0+(D91-D171),"待填")</f>
        <v>0</v>
      </c>
      <c r="E172" s="44" t="n">
        <f>IFERROR(0+(E91-E171),"待填")</f>
        <v>0</v>
      </c>
      <c r="F172" s="44" t="n">
        <f>IFERROR(0+(F91-F171),"待填")</f>
        <v>0</v>
      </c>
      <c r="G172" s="44" t="n">
        <f>IFERROR(0+(G91-G171),"待填")</f>
        <v>0</v>
      </c>
      <c r="H172" s="44" t="n">
        <f>IFERROR(0+(H91-H171),"待填")</f>
        <v>0</v>
      </c>
      <c r="I172" s="44" t="n">
        <f>IFERROR(0+(I91-I171),"待填")</f>
        <v>0</v>
      </c>
      <c r="J172" s="44" t="n">
        <f>IFERROR(0+(J91-J171),"待填")</f>
        <v>0</v>
      </c>
      <c r="K172" s="44" t="n">
        <f>IFERROR(0+(K91-K171),"待填")</f>
        <v>0</v>
      </c>
      <c r="L172" s="44" t="n">
        <f>IFERROR(0+(L91-L171),"待填")</f>
        <v>0</v>
      </c>
      <c r="M172" s="44" t="n">
        <f>IFERROR(0+(M91-M171),"待填")</f>
        <v>0</v>
      </c>
      <c r="N172" s="44" t="n">
        <f>IFERROR(0+(N91-N171),"待填")</f>
        <v>0</v>
      </c>
      <c r="O172" s="44" t="n">
        <f>IFERROR(0+(O91-O171),"待填")</f>
        <v>0</v>
      </c>
      <c r="P172" s="44" t="n">
        <f>IFERROR(0+(P91-P171),"待填")</f>
        <v>0</v>
      </c>
      <c r="Q172" s="44" t="n">
        <f>IFERROR(0+(Q91-Q171),"待填")</f>
        <v>0</v>
      </c>
      <c r="R172" s="44" t="n">
        <f>IFERROR(0+(R91-R171),"待填")</f>
        <v>0</v>
      </c>
      <c r="S172" s="44" t="n">
        <f>IFERROR(0+(S91-S171),"待填")</f>
        <v>0</v>
      </c>
    </row>
    <row r="173" ht="18" customHeight="1">
      <c r="A173" s="2"/>
      <c r="B173" s="46" t="str"/>
      <c r="C173" s="29" t="str">
        <v>销售费用明细与利润表校验</v>
      </c>
      <c r="D173" s="82" t="n">
        <f>IFERROR(0+(D50+D77+D78+D166+D176-'示例公司三表'!D20/100),"待填")</f>
        <v>0</v>
      </c>
      <c r="E173" s="82" t="n">
        <f>IFERROR(0+(E50+E77+E78+E166+E176-'示例公司三表'!E20/100),"待填")</f>
        <v>0</v>
      </c>
      <c r="F173" s="82" t="n">
        <f>IFERROR(0+(F50+F77+F78+F166+F176-'示例公司三表'!F20/100),"待填")</f>
        <v>0</v>
      </c>
      <c r="G173" s="82" t="n">
        <f>IFERROR(0+(G50+G77+G78+G166+G176-'示例公司三表'!G20/100),"待填")</f>
        <v>0</v>
      </c>
      <c r="H173" s="82" t="n">
        <f>IFERROR(0+(H50+H77+H78+H166+H176-'示例公司三表'!H20/100),"待填")</f>
        <v>0</v>
      </c>
      <c r="I173" s="82" t="n">
        <f>IFERROR(0+(I50+I77+I78+I166+I176-'示例公司三表'!I20/100),"待填")</f>
        <v>0</v>
      </c>
      <c r="J173" s="82" t="n">
        <f>IFERROR(0+(J50+J77+J78+J166+J176-'示例公司三表'!J20/100),"待填")</f>
        <v>0</v>
      </c>
      <c r="K173" s="82" t="n">
        <f>IFERROR(0+(K50+K77+K78+K166+K176-'示例公司三表'!K20/100),"待填")</f>
        <v>0</v>
      </c>
      <c r="L173" s="82" t="n">
        <f>IFERROR(0+(L50+L77+L78+L166+L176-'示例公司三表'!L20/100),"待填")</f>
        <v>0</v>
      </c>
      <c r="M173" s="82" t="n">
        <f>IFERROR(0+(M50+M77+M78+M166+M176-'示例公司三表'!M20/100),"待填")</f>
        <v>0</v>
      </c>
      <c r="N173" s="82" t="n">
        <f>IFERROR(0+(N50+N77+N78+N166+N176-'示例公司三表'!N20/100),"待填")</f>
        <v>0</v>
      </c>
      <c r="O173" s="82" t="n">
        <f>IFERROR(0+(O50+O77+O78+O166+O176-'示例公司三表'!O20/100),"待填")</f>
        <v>0</v>
      </c>
      <c r="P173" s="82" t="n">
        <f>IFERROR(0+(P50+P77+P78+P166+P176-'示例公司三表'!P20/100),"待填")</f>
        <v>0</v>
      </c>
      <c r="Q173" s="82" t="n">
        <f>IFERROR(0+(Q50+Q77+Q78+Q166+Q176-'示例公司三表'!Q20/100),"待填")</f>
        <v>0</v>
      </c>
      <c r="R173" s="82" t="n">
        <f>IFERROR(0+(R50+R77+R78+R166+R176-'示例公司三表'!R20/100),"待填")</f>
        <v>0</v>
      </c>
      <c r="S173" s="82" t="n">
        <f>IFERROR(0+(S50+S77+S78+S166+S176-'示例公司三表'!S20/100),"待填")</f>
        <v>0</v>
      </c>
    </row>
    <row r="174" ht="18" customHeight="1">
      <c r="A174" s="2"/>
      <c r="B174" s="46" t="str"/>
      <c r="C174" s="29" t="str">
        <v>管理费用明细与利润表校验</v>
      </c>
      <c r="D174" s="82" t="n">
        <f>IFERROR(0+(D58+D82+D83+D167+D177-'示例公司三表'!D21/100),"待填")</f>
        <v>0</v>
      </c>
      <c r="E174" s="82" t="n">
        <f>IFERROR(0+(E58+E82+E83+E167+E177-'示例公司三表'!E21/100),"待填")</f>
        <v>0</v>
      </c>
      <c r="F174" s="82" t="n">
        <f>IFERROR(0+(F58+F82+F83+F167+F177-'示例公司三表'!F21/100),"待填")</f>
        <v>0</v>
      </c>
      <c r="G174" s="82" t="n">
        <f>IFERROR(0+(G58+G82+G83+G167+G177-'示例公司三表'!G21/100),"待填")</f>
        <v>0</v>
      </c>
      <c r="H174" s="82" t="n">
        <f>IFERROR(0+(H58+H82+H83+H167+H177-'示例公司三表'!H21/100),"待填")</f>
        <v>0</v>
      </c>
      <c r="I174" s="82" t="n">
        <f>IFERROR(0+(I58+I82+I83+I167+I177-'示例公司三表'!I21/100),"待填")</f>
        <v>0</v>
      </c>
      <c r="J174" s="82" t="n">
        <f>IFERROR(0+(J58+J82+J83+J167+J177-'示例公司三表'!J21/100),"待填")</f>
        <v>0</v>
      </c>
      <c r="K174" s="82" t="n">
        <f>IFERROR(0+(K58+K82+K83+K167+K177-'示例公司三表'!K21/100),"待填")</f>
        <v>0</v>
      </c>
      <c r="L174" s="82" t="n">
        <f>IFERROR(0+(L58+L82+L83+L167+L177-'示例公司三表'!L21/100),"待填")</f>
        <v>0</v>
      </c>
      <c r="M174" s="82" t="n">
        <f>IFERROR(0+(M58+M82+M83+M167+M177-'示例公司三表'!M21/100),"待填")</f>
        <v>0</v>
      </c>
      <c r="N174" s="82" t="n">
        <f>IFERROR(0+(N58+N82+N83+N167+N177-'示例公司三表'!N21/100),"待填")</f>
        <v>0</v>
      </c>
      <c r="O174" s="82" t="n">
        <f>IFERROR(0+(O58+O82+O83+O167+O177-'示例公司三表'!O21/100),"待填")</f>
        <v>0</v>
      </c>
      <c r="P174" s="82" t="n">
        <f>IFERROR(0+(P58+P82+P83+P167+P177-'示例公司三表'!P21/100),"待填")</f>
        <v>0</v>
      </c>
      <c r="Q174" s="82" t="n">
        <f>IFERROR(0+(Q58+Q82+Q83+Q167+Q177-'示例公司三表'!Q21/100),"待填")</f>
        <v>0</v>
      </c>
      <c r="R174" s="82" t="n">
        <f>IFERROR(0+(R58+R82+R83+R167+R177-'示例公司三表'!R21/100),"待填")</f>
        <v>0</v>
      </c>
      <c r="S174" s="82" t="n">
        <f>IFERROR(0+(S58+S82+S83+S167+S177-'示例公司三表'!S21/100),"待填")</f>
        <v>0</v>
      </c>
    </row>
    <row r="175" ht="18" customHeight="1">
      <c r="A175" s="2"/>
      <c r="B175" s="46" t="str"/>
      <c r="C175" s="29" t="str">
        <v>研发费用明细与利润表校验</v>
      </c>
      <c r="D175" s="82" t="n">
        <f>IFERROR(0+(0),"待填")</f>
        <v>0</v>
      </c>
      <c r="E175" s="82" t="n">
        <f>IFERROR(0+(0),"待填")</f>
        <v>0</v>
      </c>
      <c r="F175" s="82" t="n">
        <f>IFERROR(0+(0),"待填")</f>
        <v>0</v>
      </c>
      <c r="G175" s="82" t="n">
        <f>IFERROR(0+(0),"待填")</f>
        <v>0</v>
      </c>
      <c r="H175" s="82" t="n">
        <f>IFERROR(0+(0),"待填")</f>
        <v>0</v>
      </c>
      <c r="I175" s="82" t="n">
        <f>IFERROR(0+(0),"待填")</f>
        <v>0</v>
      </c>
      <c r="J175" s="82" t="n">
        <f>IFERROR(0+(0),"待填")</f>
        <v>0</v>
      </c>
      <c r="K175" s="82" t="n">
        <f>IFERROR(0+(0),"待填")</f>
        <v>0</v>
      </c>
      <c r="L175" s="82" t="n">
        <f>IFERROR(0+(L68+L87+L88+L168+L178-'示例公司三表'!L22/100),"待填")</f>
        <v>0</v>
      </c>
      <c r="M175" s="82" t="n">
        <f>IFERROR(0+(M68+M87+M88+M168+M178-'示例公司三表'!M22/100),"待填")</f>
        <v>0</v>
      </c>
      <c r="N175" s="82" t="n">
        <f>IFERROR(0+(N68+N87+N88+N168+N178-'示例公司三表'!N22/100),"待填")</f>
        <v>0</v>
      </c>
      <c r="O175" s="82" t="n">
        <f>IFERROR(0+(O68+O87+O88+O168+O178-'示例公司三表'!O22/100),"待填")</f>
        <v>0</v>
      </c>
      <c r="P175" s="82" t="n">
        <f>IFERROR(0+(P68+P87+P88+P168+P178-'示例公司三表'!P22/100),"待填")</f>
        <v>0</v>
      </c>
      <c r="Q175" s="82" t="n">
        <f>IFERROR(0+(Q68+Q87+Q88+Q168+Q178-'示例公司三表'!Q22/100),"待填")</f>
        <v>0</v>
      </c>
      <c r="R175" s="82" t="n">
        <f>IFERROR(0+(R68+R87+R88+R168+R178-'示例公司三表'!R22/100),"待填")</f>
        <v>0</v>
      </c>
      <c r="S175" s="82" t="n">
        <f>IFERROR(0+(S68+S87+S88+S168+S178-'示例公司三表'!S22/100),"待填")</f>
        <v>0</v>
      </c>
    </row>
    <row r="176" ht="18" customHeight="1">
      <c r="A176" s="2"/>
      <c r="B176" s="46" t="str"/>
      <c r="C176" s="2" t="str">
        <v>备查：销售售后服务</v>
      </c>
      <c r="D176" s="44" t="n">
        <f>IFERROR(0+('示例公司附注底稿'!D11),"待填")</f>
        <v>0</v>
      </c>
      <c r="E176" s="44" t="n">
        <f>IFERROR(0+('示例公司附注底稿'!E11),"待填")</f>
        <v>0</v>
      </c>
      <c r="F176" s="44" t="n">
        <f>IFERROR(0+('示例公司附注底稿'!F11),"待填")</f>
        <v>0</v>
      </c>
      <c r="G176" s="44" t="n">
        <f>IFERROR(0+('示例公司附注底稿'!G11),"待填")</f>
        <v>0</v>
      </c>
      <c r="H176" s="44" t="n">
        <f>IFERROR(0+('示例公司附注底稿'!H11),"待填")</f>
        <v>0</v>
      </c>
      <c r="I176" s="44" t="n">
        <f>IFERROR(0+('示例公司附注底稿'!I11),"待填")</f>
        <v>0</v>
      </c>
      <c r="J176" s="44" t="n">
        <f>IFERROR(0+('示例公司附注底稿'!J11),"待填")</f>
        <v>0</v>
      </c>
      <c r="K176" s="44" t="n">
        <f>IFERROR(0+('示例公司附注底稿'!K11),"待填")</f>
        <v>0</v>
      </c>
      <c r="L176" s="44" t="n">
        <f>IFERROR(0+('示例公司附注底稿'!L11),"待填")</f>
        <v>0</v>
      </c>
      <c r="M176" s="44" t="n">
        <f>IFERROR(0+('示例公司附注底稿'!M11),"待填")</f>
        <v>0</v>
      </c>
      <c r="N176" s="44" t="n">
        <f>IFERROR(0+('示例公司附注底稿'!N11),"待填")</f>
        <v>0</v>
      </c>
      <c r="O176" s="44" t="n">
        <f>IFERROR(0+('示例公司附注底稿'!O11),"待填")</f>
        <v>0</v>
      </c>
      <c r="P176" s="44" t="n">
        <f>IFERROR(0+('示例公司附注底稿'!P11),"待填")</f>
        <v>0</v>
      </c>
      <c r="Q176" s="44" t="n">
        <f>IFERROR(0+('示例公司附注底稿'!Q11),"待填")</f>
        <v>0</v>
      </c>
      <c r="R176" s="44" t="n">
        <f>IFERROR(0+('示例公司附注底稿'!R11),"待填")</f>
        <v>0</v>
      </c>
      <c r="S176" s="44" t="n">
        <f>IFERROR(0+('示例公司附注底稿'!S11),"待填")</f>
        <v>0</v>
      </c>
    </row>
    <row r="177" ht="18" customHeight="1">
      <c r="A177" s="2"/>
      <c r="B177" s="46" t="str"/>
      <c r="C177" s="2" t="str">
        <v>备查：管理售后服务</v>
      </c>
      <c r="D177" s="44" t="n">
        <f>IFERROR(0+(0),"待填")</f>
        <v>0</v>
      </c>
      <c r="E177" s="44" t="n">
        <f>IFERROR(0+(0),"待填")</f>
        <v>0</v>
      </c>
      <c r="F177" s="44" t="n">
        <f>IFERROR(0+(0),"待填")</f>
        <v>0</v>
      </c>
      <c r="G177" s="44" t="n">
        <f>IFERROR(0+(0),"待填")</f>
        <v>0</v>
      </c>
      <c r="H177" s="44" t="n">
        <f>IFERROR(0+(0),"待填")</f>
        <v>0</v>
      </c>
      <c r="I177" s="44" t="n">
        <f>IFERROR(0+(0),"待填")</f>
        <v>0</v>
      </c>
      <c r="J177" s="44" t="n">
        <f>IFERROR(0+(0),"待填")</f>
        <v>0</v>
      </c>
      <c r="K177" s="44" t="n">
        <f>IFERROR(0+(0),"待填")</f>
        <v>0</v>
      </c>
      <c r="L177" s="44" t="n">
        <f>IFERROR(0+(0),"待填")</f>
        <v>0</v>
      </c>
      <c r="M177" s="44" t="n">
        <f>IFERROR(0+(0),"待填")</f>
        <v>0</v>
      </c>
      <c r="N177" s="44" t="n">
        <f>IFERROR(0+(0),"待填")</f>
        <v>0</v>
      </c>
      <c r="O177" s="44" t="n">
        <f>IFERROR(0+(0),"待填")</f>
        <v>0</v>
      </c>
      <c r="P177" s="44" t="n">
        <f>IFERROR(0+(0),"待填")</f>
        <v>0</v>
      </c>
      <c r="Q177" s="44" t="n">
        <f>IFERROR(0+(0),"待填")</f>
        <v>0</v>
      </c>
      <c r="R177" s="44" t="n">
        <f>IFERROR(0+(0),"待填")</f>
        <v>0</v>
      </c>
      <c r="S177" s="44" t="n">
        <f>IFERROR(0+(0),"待填")</f>
        <v>0</v>
      </c>
    </row>
    <row r="178" ht="18" customHeight="1">
      <c r="A178" s="2"/>
      <c r="B178" s="46" t="str"/>
      <c r="C178" s="2" t="str">
        <v>备查：研发售后服务</v>
      </c>
      <c r="D178" s="44" t="n">
        <f>IFERROR(0+(0),"待填")</f>
        <v>0</v>
      </c>
      <c r="E178" s="44" t="n">
        <f>IFERROR(0+(0),"待填")</f>
        <v>0</v>
      </c>
      <c r="F178" s="44" t="n">
        <f>IFERROR(0+(0),"待填")</f>
        <v>0</v>
      </c>
      <c r="G178" s="44" t="n">
        <f>IFERROR(0+(0),"待填")</f>
        <v>0</v>
      </c>
      <c r="H178" s="44" t="n">
        <f>IFERROR(0+(0),"待填")</f>
        <v>0</v>
      </c>
      <c r="I178" s="44" t="n">
        <f>IFERROR(0+(0),"待填")</f>
        <v>0</v>
      </c>
      <c r="J178" s="44" t="n">
        <f>IFERROR(0+(0),"待填")</f>
        <v>0</v>
      </c>
      <c r="K178" s="44" t="n">
        <f>IFERROR(0+(0),"待填")</f>
        <v>0</v>
      </c>
      <c r="L178" s="44" t="n">
        <f>IFERROR(0+(0),"待填")</f>
        <v>0</v>
      </c>
      <c r="M178" s="44" t="n">
        <f>IFERROR(0+(0),"待填")</f>
        <v>0</v>
      </c>
      <c r="N178" s="44" t="n">
        <f>IFERROR(0+(0),"待填")</f>
        <v>0</v>
      </c>
      <c r="O178" s="44" t="n">
        <f>IFERROR(0+(0),"待填")</f>
        <v>0</v>
      </c>
      <c r="P178" s="44" t="n">
        <f>IFERROR(0+(0),"待填")</f>
        <v>0</v>
      </c>
      <c r="Q178" s="44" t="n">
        <f>IFERROR(0+(0),"待填")</f>
        <v>0</v>
      </c>
      <c r="R178" s="44" t="n">
        <f>IFERROR(0+(0),"待填")</f>
        <v>0</v>
      </c>
      <c r="S178" s="44" t="n">
        <f>IFERROR(0+(0),"待填")</f>
        <v>0</v>
      </c>
    </row>
    <row r="179" ht="18" customHeight="1">
      <c r="A179" s="2"/>
      <c r="B179" s="46" t="str"/>
      <c r="C179" s="29" t="str">
        <v>收入分配金额校验</v>
      </c>
      <c r="D179" s="82" t="n">
        <f>IFERROR(0+(D5-D6),"待填")</f>
        <v>0</v>
      </c>
      <c r="E179" s="82" t="n">
        <f>IFERROR(0+(E5-E6),"待填")</f>
        <v>0</v>
      </c>
      <c r="F179" s="82" t="n">
        <f>IFERROR(0+(F5-F6),"待填")</f>
        <v>0</v>
      </c>
      <c r="G179" s="82" t="n">
        <f>IFERROR(0+(G5-G6),"待填")</f>
        <v>0</v>
      </c>
      <c r="H179" s="82" t="n">
        <f>IFERROR(0+(H5-H6),"待填")</f>
        <v>0</v>
      </c>
      <c r="I179" s="82" t="n">
        <f>IFERROR(0+(I5-I6),"待填")</f>
        <v>0</v>
      </c>
      <c r="J179" s="82" t="n">
        <f>IFERROR(0+(J5-J6),"待填")</f>
        <v>0</v>
      </c>
      <c r="K179" s="82" t="n">
        <f>IFERROR(0+(K5-K6),"待填")</f>
        <v>0</v>
      </c>
      <c r="L179" s="82" t="n">
        <f>IFERROR(0+(L5-L6),"待填")</f>
        <v>0</v>
      </c>
      <c r="M179" s="82" t="n">
        <f>IFERROR(0+(M5-M6),"待填")</f>
        <v>0</v>
      </c>
      <c r="N179" s="82" t="n">
        <f>IFERROR(0+(N5-N6),"待填")</f>
        <v>0</v>
      </c>
      <c r="O179" s="82" t="n">
        <f>IFERROR(0+(O5-O6),"待填")</f>
        <v>0</v>
      </c>
      <c r="P179" s="82" t="n">
        <f>IFERROR(0+(P5-P6),"待填")</f>
        <v>0</v>
      </c>
      <c r="Q179" s="82" t="n">
        <f>IFERROR(0+(Q5-Q6),"待填")</f>
        <v>0</v>
      </c>
      <c r="R179" s="82" t="n">
        <f>IFERROR(0+(R5-R6),"待填")</f>
        <v>0</v>
      </c>
      <c r="S179" s="82" t="n">
        <f>IFERROR(0+(S5-S6),"待填")</f>
        <v>0</v>
      </c>
    </row>
    <row r="180" ht="18" customHeight="1">
      <c r="A180" s="2"/>
      <c r="B180" s="46" t="str"/>
      <c r="C180" s="29" t="str">
        <v>收入分配占比校验</v>
      </c>
      <c r="D180" s="82" t="str">
        <f>IFERROR(0+(D22-1),"待填")</f>
        <v>待填</v>
      </c>
      <c r="E180" s="82" t="str">
        <f>IFERROR(0+(E22-1),"待填")</f>
        <v>待填</v>
      </c>
      <c r="F180" s="82" t="str">
        <f>IFERROR(0+(F22-1),"待填")</f>
        <v>待填</v>
      </c>
      <c r="G180" s="82" t="str">
        <f>IFERROR(0+(G22-1),"待填")</f>
        <v>待填</v>
      </c>
      <c r="H180" s="82" t="str">
        <f>IFERROR(0+(H22-1),"待填")</f>
        <v>待填</v>
      </c>
      <c r="I180" s="82" t="str">
        <f>IFERROR(0+(I22-1),"待填")</f>
        <v>待填</v>
      </c>
      <c r="J180" s="82" t="str">
        <f>IFERROR(0+(J22-1),"待填")</f>
        <v>待填</v>
      </c>
      <c r="K180" s="82" t="str">
        <f>IFERROR(0+(K22-1),"待填")</f>
        <v>待填</v>
      </c>
      <c r="L180" s="82" t="str">
        <f>IFERROR(0+(L22-1),"待填")</f>
        <v>待填</v>
      </c>
      <c r="M180" s="82" t="str">
        <f>IFERROR(0+(M22-1),"待填")</f>
        <v>待填</v>
      </c>
      <c r="N180" s="82" t="str">
        <f>IFERROR(0+(N22-1),"待填")</f>
        <v>待填</v>
      </c>
      <c r="O180" s="82" t="str">
        <f>IFERROR(0+(O22-1),"待填")</f>
        <v>待填</v>
      </c>
      <c r="P180" s="82" t="str">
        <f>IFERROR(0+(P22-1),"待填")</f>
        <v>待填</v>
      </c>
      <c r="Q180" s="82" t="str">
        <f>IFERROR(0+(Q22-1),"待填")</f>
        <v>待填</v>
      </c>
      <c r="R180" s="82" t="str">
        <f>IFERROR(0+(R22-1),"待填")</f>
        <v>待填</v>
      </c>
      <c r="S180" s="82" t="str">
        <f>IFERROR(0+(S22-1),"待填")</f>
        <v>待填</v>
      </c>
    </row>
    <row r="181" ht="25" customHeight="1">
      <c r="A181" s="2"/>
      <c r="B181" s="46" t="str">
        <v>【待补说明】填写该公司的口径、特殊事项和预测假设。</v>
      </c>
      <c r="C181" s="35" t="str">
        <v>【待补说明】填写该公司的口径、特殊事项和预测假设。</v>
      </c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</row>
    <row r="182" ht="25" customHeight="1">
      <c r="A182" s="2"/>
      <c r="B182" s="46" t="str">
        <v>【待补说明】填写该公司的口径、特殊事项和预测假设。</v>
      </c>
      <c r="C182" s="35" t="str">
        <v>【待补说明】填写该公司的口径、特殊事项和预测假设。</v>
      </c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</row>
    <row r="183" ht="25" customHeight="1">
      <c r="A183" s="2"/>
      <c r="B183" s="46" t="str">
        <v>【待补说明】填写该公司的口径、特殊事项和预测假设。</v>
      </c>
      <c r="C183" s="35" t="str">
        <v>【待补说明】填写该公司的口径、特殊事项和预测假设。</v>
      </c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</row>
  </sheetData>
  <mergeCells>
    <mergeCell ref="C1:S1"/>
    <mergeCell ref="C3:S3"/>
    <mergeCell ref="C37:S37"/>
    <mergeCell ref="C164:S164"/>
    <mergeCell ref="C181:S181"/>
    <mergeCell ref="C182:S182"/>
    <mergeCell ref="C183:S183"/>
  </mergeCells>
  <conditionalFormatting sqref="D173:S173">
    <cfRule type="expression" dxfId="3" priority="1">
      <formula>AND(ISNUMBER(D173),ABS(D173)&gt;0.02)</formula>
    </cfRule>
  </conditionalFormatting>
  <conditionalFormatting sqref="D174:S174">
    <cfRule type="expression" dxfId="4" priority="2">
      <formula>AND(ISNUMBER(D174),ABS(D174)&gt;0.02)</formula>
    </cfRule>
  </conditionalFormatting>
  <conditionalFormatting sqref="D175:S175">
    <cfRule type="expression" dxfId="5" priority="3">
      <formula>AND(ISNUMBER(D175),ABS(D175)&gt;0.02)</formula>
    </cfRule>
  </conditionalFormatting>
  <conditionalFormatting sqref="D179:S179">
    <cfRule type="expression" dxfId="6" priority="4">
      <formula>AND(ISNUMBER(D179),ABS(D179)&gt;0.02)</formula>
    </cfRule>
  </conditionalFormatting>
  <conditionalFormatting sqref="D180:S180">
    <cfRule type="expression" dxfId="7" priority="5">
      <formula>AND(ISNUMBER(D180),ABS(D180)&gt;0.02)</formula>
    </cfRule>
  </conditionalFormatting>
  <conditionalFormatting sqref="D23:D34">
    <cfRule type="dataBar" priority="6">
      <dataBar>
        <cfvo type="num" val="0"/>
        <cfvo type="num" val="1"/>
        <color rgb="FF638EC6"/>
      </dataBar>
      <extLst>
        <ext uri="{B025F937-C7B1-47D3-B67F-A62EFF666E3E}">
          <ns1:id>22a0bd1c-4592-4e5a-a8e2-1b702079639b</ns1:id>
        </ext>
      </extLst>
    </cfRule>
  </conditionalFormatting>
  <conditionalFormatting sqref="E23:E34">
    <cfRule type="dataBar" priority="7">
      <dataBar>
        <cfvo type="num" val="0"/>
        <cfvo type="num" val="1"/>
        <color rgb="FF638EC6"/>
      </dataBar>
      <extLst>
        <ext uri="{B025F937-C7B1-47D3-B67F-A62EFF666E3E}">
          <ns1:id>4dc8375f-4d50-4a89-aac8-f887159923b4</ns1:id>
        </ext>
      </extLst>
    </cfRule>
  </conditionalFormatting>
  <conditionalFormatting sqref="F23:F34">
    <cfRule type="dataBar" priority="8">
      <dataBar>
        <cfvo type="num" val="0"/>
        <cfvo type="num" val="1"/>
        <color rgb="FF638EC6"/>
      </dataBar>
      <extLst>
        <ext uri="{B025F937-C7B1-47D3-B67F-A62EFF666E3E}">
          <ns1:id>4f012162-9c01-4beb-9cdf-a800850981e7</ns1:id>
        </ext>
      </extLst>
    </cfRule>
  </conditionalFormatting>
  <conditionalFormatting sqref="G23:G34">
    <cfRule type="dataBar" priority="9">
      <dataBar>
        <cfvo type="num" val="0"/>
        <cfvo type="num" val="1"/>
        <color rgb="FF638EC6"/>
      </dataBar>
      <extLst>
        <ext uri="{B025F937-C7B1-47D3-B67F-A62EFF666E3E}">
          <ns1:id>d2194237-bd0f-49ef-98b5-452d040e93af</ns1:id>
        </ext>
      </extLst>
    </cfRule>
  </conditionalFormatting>
  <conditionalFormatting sqref="H23:H34">
    <cfRule type="dataBar" priority="10">
      <dataBar>
        <cfvo type="num" val="0"/>
        <cfvo type="num" val="1"/>
        <color rgb="FF638EC6"/>
      </dataBar>
      <extLst>
        <ext uri="{B025F937-C7B1-47D3-B67F-A62EFF666E3E}">
          <ns1:id>6cb9b5d3-f089-4764-8b1c-6f5cbea000a7</ns1:id>
        </ext>
      </extLst>
    </cfRule>
  </conditionalFormatting>
  <conditionalFormatting sqref="I23:I34">
    <cfRule type="dataBar" priority="11">
      <dataBar>
        <cfvo type="num" val="0"/>
        <cfvo type="num" val="1"/>
        <color rgb="FF638EC6"/>
      </dataBar>
      <extLst>
        <ext uri="{B025F937-C7B1-47D3-B67F-A62EFF666E3E}">
          <ns1:id>69c469e5-19b8-4210-a687-a6209082531d</ns1:id>
        </ext>
      </extLst>
    </cfRule>
  </conditionalFormatting>
  <conditionalFormatting sqref="J23:J34">
    <cfRule type="dataBar" priority="12">
      <dataBar>
        <cfvo type="num" val="0"/>
        <cfvo type="num" val="1"/>
        <color rgb="FF638EC6"/>
      </dataBar>
      <extLst>
        <ext uri="{B025F937-C7B1-47D3-B67F-A62EFF666E3E}">
          <ns1:id>e26b1c90-8fda-4fbe-a92a-5edb92357e5f</ns1:id>
        </ext>
      </extLst>
    </cfRule>
  </conditionalFormatting>
  <conditionalFormatting sqref="K23:K34">
    <cfRule type="dataBar" priority="13">
      <dataBar>
        <cfvo type="num" val="0"/>
        <cfvo type="num" val="1"/>
        <color rgb="FF638EC6"/>
      </dataBar>
      <extLst>
        <ext uri="{B025F937-C7B1-47D3-B67F-A62EFF666E3E}">
          <ns1:id>92575983-7423-4cd1-a473-833a7e3b78e3</ns1:id>
        </ext>
      </extLst>
    </cfRule>
  </conditionalFormatting>
  <conditionalFormatting sqref="L23:L34">
    <cfRule type="dataBar" priority="14">
      <dataBar>
        <cfvo type="num" val="0"/>
        <cfvo type="num" val="1"/>
        <color rgb="FF638EC6"/>
      </dataBar>
      <extLst>
        <ext uri="{B025F937-C7B1-47D3-B67F-A62EFF666E3E}">
          <ns1:id>5036a2d5-42c6-4cc1-bb50-69f32f43b266</ns1:id>
        </ext>
      </extLst>
    </cfRule>
  </conditionalFormatting>
  <conditionalFormatting sqref="M23:M34">
    <cfRule type="dataBar" priority="15">
      <dataBar>
        <cfvo type="num" val="0"/>
        <cfvo type="num" val="1"/>
        <color rgb="FF638EC6"/>
      </dataBar>
      <extLst>
        <ext uri="{B025F937-C7B1-47D3-B67F-A62EFF666E3E}">
          <ns1:id>df66b815-031f-47b9-b65b-f456c7fb6e87</ns1:id>
        </ext>
      </extLst>
    </cfRule>
  </conditionalFormatting>
  <conditionalFormatting sqref="N23:N34">
    <cfRule type="dataBar" priority="16">
      <dataBar>
        <cfvo type="num" val="0"/>
        <cfvo type="num" val="1"/>
        <color rgb="FF638EC6"/>
      </dataBar>
      <extLst>
        <ext uri="{B025F937-C7B1-47D3-B67F-A62EFF666E3E}">
          <ns1:id>92c123ff-30ad-4ff0-8167-ef5600020424</ns1:id>
        </ext>
      </extLst>
    </cfRule>
  </conditionalFormatting>
  <conditionalFormatting sqref="O23:O34">
    <cfRule type="dataBar" priority="17">
      <dataBar>
        <cfvo type="num" val="0"/>
        <cfvo type="num" val="1"/>
        <color rgb="FF638EC6"/>
      </dataBar>
      <extLst>
        <ext uri="{B025F937-C7B1-47D3-B67F-A62EFF666E3E}">
          <ns1:id>e80e8fa2-4cc1-48c3-8f6c-520e2a860d29</ns1:id>
        </ext>
      </extLst>
    </cfRule>
  </conditionalFormatting>
  <conditionalFormatting sqref="P23:P34">
    <cfRule type="dataBar" priority="18">
      <dataBar>
        <cfvo type="num" val="0"/>
        <cfvo type="num" val="1"/>
        <color rgb="FF638EC6"/>
      </dataBar>
      <extLst>
        <ext uri="{B025F937-C7B1-47D3-B67F-A62EFF666E3E}">
          <ns1:id>13a3c495-1023-4d89-b330-8b3239cca152</ns1:id>
        </ext>
      </extLst>
    </cfRule>
  </conditionalFormatting>
  <conditionalFormatting sqref="Q23:Q34">
    <cfRule type="dataBar" priority="19">
      <dataBar>
        <cfvo type="num" val="0"/>
        <cfvo type="num" val="1"/>
        <color rgb="FF638EC6"/>
      </dataBar>
      <extLst>
        <ext uri="{B025F937-C7B1-47D3-B67F-A62EFF666E3E}">
          <ns1:id>b88edb0a-9a00-41a6-a8c4-d03d252851f0</ns1:id>
        </ext>
      </extLst>
    </cfRule>
  </conditionalFormatting>
  <conditionalFormatting sqref="R23:R34">
    <cfRule type="dataBar" priority="20">
      <dataBar>
        <cfvo type="num" val="0"/>
        <cfvo type="num" val="1"/>
        <color rgb="FF638EC6"/>
      </dataBar>
      <extLst>
        <ext uri="{B025F937-C7B1-47D3-B67F-A62EFF666E3E}">
          <ns1:id>76408b47-38b5-4230-bca8-952265fd16b1</ns1:id>
        </ext>
      </extLst>
    </cfRule>
  </conditionalFormatting>
  <conditionalFormatting sqref="S23:S34">
    <cfRule type="dataBar" priority="21">
      <dataBar>
        <cfvo type="num" val="0"/>
        <cfvo type="num" val="1"/>
        <color rgb="FF638EC6"/>
      </dataBar>
      <extLst>
        <ext uri="{B025F937-C7B1-47D3-B67F-A62EFF666E3E}">
          <ns1:id>06bbbc37-5600-47d5-bec1-87f5c77274f3</ns1:id>
        </ext>
      </extLst>
    </cfRule>
  </conditionalFormatting>
  <conditionalFormatting sqref="D106:D161">
    <cfRule type="dataBar" priority="22">
      <dataBar>
        <cfvo type="num" val="0"/>
        <cfvo type="num" val="1"/>
        <color rgb="FF638EC6"/>
      </dataBar>
      <extLst>
        <ext uri="{B025F937-C7B1-47D3-B67F-A62EFF666E3E}">
          <ns1:id>d6ae40e0-619e-4aee-ba0f-2b371fb81fdb</ns1:id>
        </ext>
      </extLst>
    </cfRule>
  </conditionalFormatting>
  <conditionalFormatting sqref="E106:E161">
    <cfRule type="dataBar" priority="23">
      <dataBar>
        <cfvo type="num" val="0"/>
        <cfvo type="num" val="1"/>
        <color rgb="FF638EC6"/>
      </dataBar>
      <extLst>
        <ext uri="{B025F937-C7B1-47D3-B67F-A62EFF666E3E}">
          <ns1:id>5a5dadba-2360-4063-bb89-cdf3e9bab6a9</ns1:id>
        </ext>
      </extLst>
    </cfRule>
  </conditionalFormatting>
  <conditionalFormatting sqref="F106:F161">
    <cfRule type="dataBar" priority="24">
      <dataBar>
        <cfvo type="num" val="0"/>
        <cfvo type="num" val="1"/>
        <color rgb="FF638EC6"/>
      </dataBar>
      <extLst>
        <ext uri="{B025F937-C7B1-47D3-B67F-A62EFF666E3E}">
          <ns1:id>7834ccac-b284-4c66-9b45-b85ff5e2c1cc</ns1:id>
        </ext>
      </extLst>
    </cfRule>
  </conditionalFormatting>
  <conditionalFormatting sqref="G106:G161">
    <cfRule type="dataBar" priority="25">
      <dataBar>
        <cfvo type="num" val="0"/>
        <cfvo type="num" val="1"/>
        <color rgb="FF638EC6"/>
      </dataBar>
      <extLst>
        <ext uri="{B025F937-C7B1-47D3-B67F-A62EFF666E3E}">
          <ns1:id>462be7a3-ed35-47ad-abcb-ce05118990ca</ns1:id>
        </ext>
      </extLst>
    </cfRule>
  </conditionalFormatting>
  <conditionalFormatting sqref="H106:H161">
    <cfRule type="dataBar" priority="26">
      <dataBar>
        <cfvo type="num" val="0"/>
        <cfvo type="num" val="1"/>
        <color rgb="FF638EC6"/>
      </dataBar>
      <extLst>
        <ext uri="{B025F937-C7B1-47D3-B67F-A62EFF666E3E}">
          <ns1:id>be11e681-0fce-4c1d-914f-e802702b343a</ns1:id>
        </ext>
      </extLst>
    </cfRule>
  </conditionalFormatting>
  <conditionalFormatting sqref="I106:I161">
    <cfRule type="dataBar" priority="27">
      <dataBar>
        <cfvo type="num" val="0"/>
        <cfvo type="num" val="1"/>
        <color rgb="FF638EC6"/>
      </dataBar>
      <extLst>
        <ext uri="{B025F937-C7B1-47D3-B67F-A62EFF666E3E}">
          <ns1:id>51fa481e-bb1b-4fb8-b2bd-7972ca4fdcf5</ns1:id>
        </ext>
      </extLst>
    </cfRule>
  </conditionalFormatting>
  <conditionalFormatting sqref="J106:J161">
    <cfRule type="dataBar" priority="28">
      <dataBar>
        <cfvo type="num" val="0"/>
        <cfvo type="num" val="1"/>
        <color rgb="FF638EC6"/>
      </dataBar>
      <extLst>
        <ext uri="{B025F937-C7B1-47D3-B67F-A62EFF666E3E}">
          <ns1:id>0ab7504d-e115-4a9c-92a2-c459e0155870</ns1:id>
        </ext>
      </extLst>
    </cfRule>
  </conditionalFormatting>
  <conditionalFormatting sqref="K106:K161">
    <cfRule type="dataBar" priority="29">
      <dataBar>
        <cfvo type="num" val="0"/>
        <cfvo type="num" val="1"/>
        <color rgb="FF638EC6"/>
      </dataBar>
      <extLst>
        <ext uri="{B025F937-C7B1-47D3-B67F-A62EFF666E3E}">
          <ns1:id>fff28337-ed5a-4344-95dc-c88abaa37b0c</ns1:id>
        </ext>
      </extLst>
    </cfRule>
  </conditionalFormatting>
  <conditionalFormatting sqref="L106:L161">
    <cfRule type="dataBar" priority="30">
      <dataBar>
        <cfvo type="num" val="0"/>
        <cfvo type="num" val="1"/>
        <color rgb="FF638EC6"/>
      </dataBar>
      <extLst>
        <ext uri="{B025F937-C7B1-47D3-B67F-A62EFF666E3E}">
          <ns1:id>491bc80d-a355-40a9-a98b-30af4be84685</ns1:id>
        </ext>
      </extLst>
    </cfRule>
  </conditionalFormatting>
  <conditionalFormatting sqref="M106:M161">
    <cfRule type="dataBar" priority="31">
      <dataBar>
        <cfvo type="num" val="0"/>
        <cfvo type="num" val="1"/>
        <color rgb="FF638EC6"/>
      </dataBar>
      <extLst>
        <ext uri="{B025F937-C7B1-47D3-B67F-A62EFF666E3E}">
          <ns1:id>b20e1c13-fc8f-41d9-b5c9-0baf4165fb6e</ns1:id>
        </ext>
      </extLst>
    </cfRule>
  </conditionalFormatting>
  <conditionalFormatting sqref="N106:N161">
    <cfRule type="dataBar" priority="32">
      <dataBar>
        <cfvo type="num" val="0"/>
        <cfvo type="num" val="1"/>
        <color rgb="FF638EC6"/>
      </dataBar>
      <extLst>
        <ext uri="{B025F937-C7B1-47D3-B67F-A62EFF666E3E}">
          <ns1:id>88e86cc7-2b20-4295-8ac6-8eb44dd702c5</ns1:id>
        </ext>
      </extLst>
    </cfRule>
  </conditionalFormatting>
  <conditionalFormatting sqref="O106:O161">
    <cfRule type="dataBar" priority="33">
      <dataBar>
        <cfvo type="num" val="0"/>
        <cfvo type="num" val="1"/>
        <color rgb="FF638EC6"/>
      </dataBar>
      <extLst>
        <ext uri="{B025F937-C7B1-47D3-B67F-A62EFF666E3E}">
          <ns1:id>4158d7da-a398-40a8-b66b-e859224a6826</ns1:id>
        </ext>
      </extLst>
    </cfRule>
  </conditionalFormatting>
  <conditionalFormatting sqref="P106:P161">
    <cfRule type="dataBar" priority="34">
      <dataBar>
        <cfvo type="num" val="0"/>
        <cfvo type="num" val="1"/>
        <color rgb="FF638EC6"/>
      </dataBar>
      <extLst>
        <ext uri="{B025F937-C7B1-47D3-B67F-A62EFF666E3E}">
          <ns1:id>9bf99c6b-0c10-4da5-af03-0fca05995745</ns1:id>
        </ext>
      </extLst>
    </cfRule>
  </conditionalFormatting>
  <conditionalFormatting sqref="Q106:Q161">
    <cfRule type="dataBar" priority="35">
      <dataBar>
        <cfvo type="num" val="0"/>
        <cfvo type="num" val="1"/>
        <color rgb="FF638EC6"/>
      </dataBar>
      <extLst>
        <ext uri="{B025F937-C7B1-47D3-B67F-A62EFF666E3E}">
          <ns1:id>75fd2d18-ef0e-4429-b6ad-85082d9acec1</ns1:id>
        </ext>
      </extLst>
    </cfRule>
  </conditionalFormatting>
  <conditionalFormatting sqref="R106:R161">
    <cfRule type="dataBar" priority="36">
      <dataBar>
        <cfvo type="num" val="0"/>
        <cfvo type="num" val="1"/>
        <color rgb="FF638EC6"/>
      </dataBar>
      <extLst>
        <ext uri="{B025F937-C7B1-47D3-B67F-A62EFF666E3E}">
          <ns1:id>a4f00793-1a7e-48b5-a763-ebb7ef92bf13</ns1:id>
        </ext>
      </extLst>
    </cfRule>
  </conditionalFormatting>
  <conditionalFormatting sqref="S106:S161">
    <cfRule type="dataBar" priority="37">
      <dataBar>
        <cfvo type="num" val="0"/>
        <cfvo type="num" val="1"/>
        <color rgb="FF638EC6"/>
      </dataBar>
      <extLst>
        <ext uri="{B025F937-C7B1-47D3-B67F-A62EFF666E3E}">
          <ns1:id>de8d912a-f41e-4826-9c1e-985ab8c60eb9</ns1:id>
        </ext>
      </extLst>
    </cfRule>
  </conditionalFormatting>
  <hyperlinks>
    <hyperlink ref="A1" location="'收入分配拆分'!C3"/>
    <hyperlink ref="A2" location="'收入分配拆分'!C37"/>
  </hyperlinks>
  <pageMargins left="0.7" right="0.7" top="0.75" bottom="0.75" header="0.3" footer="0.3"/>
  <extLst>
    <ext uri="{78C0D931-6437-407d-A8EE-F0AAD7539E65}">
      <ns1:conditionalFormattings>
        <ns1:conditionalFormatting>
          <ns1:cfRule type="dataBar" priority="6" id="22a0bd1c-4592-4e5a-a8e2-1b702079639b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D23:D34</ns2:sqref>
        </ns1:conditionalFormatting>
        <ns1:conditionalFormatting>
          <ns1:cfRule type="dataBar" priority="7" id="4dc8375f-4d50-4a89-aac8-f887159923b4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E23:E34</ns2:sqref>
        </ns1:conditionalFormatting>
        <ns1:conditionalFormatting>
          <ns1:cfRule type="dataBar" priority="8" id="4f012162-9c01-4beb-9cdf-a800850981e7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F23:F34</ns2:sqref>
        </ns1:conditionalFormatting>
        <ns1:conditionalFormatting>
          <ns1:cfRule type="dataBar" priority="9" id="d2194237-bd0f-49ef-98b5-452d040e93af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G23:G34</ns2:sqref>
        </ns1:conditionalFormatting>
        <ns1:conditionalFormatting>
          <ns1:cfRule type="dataBar" priority="10" id="6cb9b5d3-f089-4764-8b1c-6f5cbea000a7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H23:H34</ns2:sqref>
        </ns1:conditionalFormatting>
        <ns1:conditionalFormatting>
          <ns1:cfRule type="dataBar" priority="11" id="69c469e5-19b8-4210-a687-a6209082531d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I23:I34</ns2:sqref>
        </ns1:conditionalFormatting>
        <ns1:conditionalFormatting>
          <ns1:cfRule type="dataBar" priority="12" id="e26b1c90-8fda-4fbe-a92a-5edb92357e5f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J23:J34</ns2:sqref>
        </ns1:conditionalFormatting>
        <ns1:conditionalFormatting>
          <ns1:cfRule type="dataBar" priority="13" id="92575983-7423-4cd1-a473-833a7e3b78e3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K23:K34</ns2:sqref>
        </ns1:conditionalFormatting>
        <ns1:conditionalFormatting>
          <ns1:cfRule type="dataBar" priority="14" id="5036a2d5-42c6-4cc1-bb50-69f32f43b266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L23:L34</ns2:sqref>
        </ns1:conditionalFormatting>
        <ns1:conditionalFormatting>
          <ns1:cfRule type="dataBar" priority="15" id="df66b815-031f-47b9-b65b-f456c7fb6e87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M23:M34</ns2:sqref>
        </ns1:conditionalFormatting>
        <ns1:conditionalFormatting>
          <ns1:cfRule type="dataBar" priority="16" id="92c123ff-30ad-4ff0-8167-ef5600020424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N23:N34</ns2:sqref>
        </ns1:conditionalFormatting>
        <ns1:conditionalFormatting>
          <ns1:cfRule type="dataBar" priority="17" id="e80e8fa2-4cc1-48c3-8f6c-520e2a860d29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O23:O34</ns2:sqref>
        </ns1:conditionalFormatting>
        <ns1:conditionalFormatting>
          <ns1:cfRule type="dataBar" priority="18" id="13a3c495-1023-4d89-b330-8b3239cca152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P23:P34</ns2:sqref>
        </ns1:conditionalFormatting>
        <ns1:conditionalFormatting>
          <ns1:cfRule type="dataBar" priority="19" id="b88edb0a-9a00-41a6-a8c4-d03d252851f0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Q23:Q34</ns2:sqref>
        </ns1:conditionalFormatting>
        <ns1:conditionalFormatting>
          <ns1:cfRule type="dataBar" priority="20" id="76408b47-38b5-4230-bca8-952265fd16b1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R23:R34</ns2:sqref>
        </ns1:conditionalFormatting>
        <ns1:conditionalFormatting>
          <ns1:cfRule type="dataBar" priority="21" id="06bbbc37-5600-47d5-bec1-87f5c77274f3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S23:S34</ns2:sqref>
        </ns1:conditionalFormatting>
        <ns1:conditionalFormatting>
          <ns1:cfRule type="dataBar" priority="22" id="d6ae40e0-619e-4aee-ba0f-2b371fb81fdb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D106:D161</ns2:sqref>
        </ns1:conditionalFormatting>
        <ns1:conditionalFormatting>
          <ns1:cfRule type="dataBar" priority="23" id="5a5dadba-2360-4063-bb89-cdf3e9bab6a9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E106:E161</ns2:sqref>
        </ns1:conditionalFormatting>
        <ns1:conditionalFormatting>
          <ns1:cfRule type="dataBar" priority="24" id="7834ccac-b284-4c66-9b45-b85ff5e2c1cc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F106:F161</ns2:sqref>
        </ns1:conditionalFormatting>
        <ns1:conditionalFormatting>
          <ns1:cfRule type="dataBar" priority="25" id="462be7a3-ed35-47ad-abcb-ce05118990ca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G106:G161</ns2:sqref>
        </ns1:conditionalFormatting>
        <ns1:conditionalFormatting>
          <ns1:cfRule type="dataBar" priority="26" id="be11e681-0fce-4c1d-914f-e802702b343a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H106:H161</ns2:sqref>
        </ns1:conditionalFormatting>
        <ns1:conditionalFormatting>
          <ns1:cfRule type="dataBar" priority="27" id="51fa481e-bb1b-4fb8-b2bd-7972ca4fdcf5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I106:I161</ns2:sqref>
        </ns1:conditionalFormatting>
        <ns1:conditionalFormatting>
          <ns1:cfRule type="dataBar" priority="28" id="0ab7504d-e115-4a9c-92a2-c459e0155870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J106:J161</ns2:sqref>
        </ns1:conditionalFormatting>
        <ns1:conditionalFormatting>
          <ns1:cfRule type="dataBar" priority="29" id="fff28337-ed5a-4344-95dc-c88abaa37b0c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K106:K161</ns2:sqref>
        </ns1:conditionalFormatting>
        <ns1:conditionalFormatting>
          <ns1:cfRule type="dataBar" priority="30" id="491bc80d-a355-40a9-a98b-30af4be84685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L106:L161</ns2:sqref>
        </ns1:conditionalFormatting>
        <ns1:conditionalFormatting>
          <ns1:cfRule type="dataBar" priority="31" id="b20e1c13-fc8f-41d9-b5c9-0baf4165fb6e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M106:M161</ns2:sqref>
        </ns1:conditionalFormatting>
        <ns1:conditionalFormatting>
          <ns1:cfRule type="dataBar" priority="32" id="88e86cc7-2b20-4295-8ac6-8eb44dd702c5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N106:N161</ns2:sqref>
        </ns1:conditionalFormatting>
        <ns1:conditionalFormatting>
          <ns1:cfRule type="dataBar" priority="33" id="4158d7da-a398-40a8-b66b-e859224a6826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O106:O161</ns2:sqref>
        </ns1:conditionalFormatting>
        <ns1:conditionalFormatting>
          <ns1:cfRule type="dataBar" priority="34" id="9bf99c6b-0c10-4da5-af03-0fca05995745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P106:P161</ns2:sqref>
        </ns1:conditionalFormatting>
        <ns1:conditionalFormatting>
          <ns1:cfRule type="dataBar" priority="35" id="75fd2d18-ef0e-4429-b6ad-85082d9acec1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Q106:Q161</ns2:sqref>
        </ns1:conditionalFormatting>
        <ns1:conditionalFormatting>
          <ns1:cfRule type="dataBar" priority="36" id="a4f00793-1a7e-48b5-a763-ebb7ef92bf13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R106:R161</ns2:sqref>
        </ns1:conditionalFormatting>
        <ns1:conditionalFormatting>
          <ns1:cfRule type="dataBar" priority="37" id="de8d912a-f41e-4826-9c1e-985ab8c60eb9">
            <ns1:dataBar gradient="1">
              <ns1:cfvo type="num">
                <ns2:f>0</ns2:f>
              </ns1:cfvo>
              <ns1:cfvo type="num">
                <ns2:f>1</ns2:f>
              </ns1:cfvo>
              <ns1:fillColor rgb="FF638EC6"/>
            </ns1:dataBar>
          </ns1:cfRule>
          <ns2:sqref>S106:S161</ns2:sqref>
        </ns1:conditionalFormatting>
      </ns1:conditionalFormattings>
    </ext>
  </extLst>
</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20" max="20" width="13.829999923706055" hidden="0" customWidth="1"/>
    <x:col min="21" max="21" width="13.829999923706055" hidden="0" customWidth="1"/>
    <x:col min="22" max="22" width="13.829999923706055" hidden="0" customWidth="1"/>
    <x:col min="23" max="23" width="13.829999923706055" hidden="0" customWidth="1"/>
    <x:col min="1" max="1" width="2.6600000858306885" hidden="0" customWidth="1"/>
    <x:col min="2" max="2" width="36.65999984741211" hidden="0" customWidth="1"/>
    <x:col min="3" max="3" width="16.5" hidden="0" customWidth="1"/>
  </x:cols>
  <x:sheetData>
    <x:row r="1" ht="26" customHeight="1">
      <x:c r="A1" s="2"/>
      <x:c r="B1" s="7" t="str">
        <x:v>示例公司固定资产：分类别滚动及折旧预测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2009基准</x:v>
      </x:c>
      <x:c r="E5" s="21" t="str">
        <x:v>2010A</x:v>
      </x:c>
      <x:c r="F5" s="21" t="str">
        <x:v>2011A</x:v>
      </x:c>
      <x:c r="G5" s="21" t="str">
        <x:v>2012A</x:v>
      </x:c>
      <x:c r="H5" s="21" t="str">
        <x:v>2013A</x:v>
      </x:c>
      <x:c r="I5" s="21" t="str">
        <x:v>2014A</x:v>
      </x:c>
      <x:c r="J5" s="21" t="str">
        <x:v>2015A</x:v>
      </x:c>
      <x:c r="K5" s="21" t="str">
        <x:v>2016A</x:v>
      </x:c>
      <x:c r="L5" s="21" t="str">
        <x:v>2017A</x:v>
      </x:c>
      <x:c r="M5" s="21" t="str">
        <x:v>2018A</x:v>
      </x:c>
      <x:c r="N5" s="21" t="str">
        <x:v>2019A</x:v>
      </x:c>
      <x:c r="O5" s="21" t="str">
        <x:v>2020A</x:v>
      </x:c>
      <x:c r="P5" s="21" t="str">
        <x:v>2021A</x:v>
      </x:c>
      <x:c r="Q5" s="21" t="str">
        <x:v>2022A</x:v>
      </x:c>
      <x:c r="R5" s="21" t="str">
        <x:v>2023A</x:v>
      </x:c>
      <x:c r="S5" s="21" t="str">
        <x:v>2024A</x:v>
      </x:c>
      <x:c r="T5" s="21" t="str">
        <x:v>2025A</x:v>
      </x:c>
      <x:c r="U5" s="21" t="str">
        <x:v>2026E</x:v>
      </x:c>
      <x:c r="V5" s="21" t="str">
        <x:v>2027E</x:v>
      </x:c>
      <x:c r="W5" s="21" t="str">
        <x:v>2028E</x:v>
      </x:c>
    </x:row>
    <x:row r="6" ht="21" customHeight="1">
      <x:c r="A6" s="2"/>
      <x:c r="B6" s="25" t="str">
        <x:v>1、期末账面净值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 ht="15.5" customHeight="1">
      <x:c r="A7" s="2"/>
      <x:c r="B7" s="2" t="str">
        <x:v>房屋及建筑物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 t="n">
        <x:f>IFERROR(0+(U18-U27-U36),"待填")</x:f>
        <x:v>0</x:v>
      </x:c>
      <x:c r="V7" s="4" t="n">
        <x:f>IFERROR(0+(V18-V27-V36),"待填")</x:f>
        <x:v>0</x:v>
      </x:c>
      <x:c r="W7" s="4" t="n">
        <x:f>IFERROR(0+(W18-W27-W36),"待填")</x:f>
        <x:v>0</x:v>
      </x:c>
    </x:row>
    <x:row r="8" ht="15.5" customHeight="1">
      <x:c r="A8" s="2"/>
      <x:c r="B8" s="2" t="str">
        <x:v>通用设备</x:v>
      </x:c>
      <x:c r="C8" s="6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 t="n">
        <x:f>IFERROR(0+(U19-U28-U37),"待填")</x:f>
        <x:v>0</x:v>
      </x:c>
      <x:c r="V8" s="4" t="n">
        <x:f>IFERROR(0+(V19-V28-V37),"待填")</x:f>
        <x:v>0</x:v>
      </x:c>
      <x:c r="W8" s="4" t="n">
        <x:f>IFERROR(0+(W19-W28-W37),"待填")</x:f>
        <x:v>0</x:v>
      </x:c>
    </x:row>
    <x:row r="9" ht="15.5" customHeight="1">
      <x:c r="A9" s="2"/>
      <x:c r="B9" s="2" t="str">
        <x:v>专用设备</x:v>
      </x:c>
      <x:c r="C9" s="6" t="str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 t="n">
        <x:f>IFERROR(0+(U20-U29-U38),"待填")</x:f>
        <x:v>0</x:v>
      </x:c>
      <x:c r="V9" s="4" t="n">
        <x:f>IFERROR(0+(V20-V29-V38),"待填")</x:f>
        <x:v>0</x:v>
      </x:c>
      <x:c r="W9" s="4" t="n">
        <x:f>IFERROR(0+(W20-W29-W38),"待填")</x:f>
        <x:v>0</x:v>
      </x:c>
    </x:row>
    <x:row r="10" ht="15.5" customHeight="1">
      <x:c r="A10" s="2"/>
      <x:c r="B10" s="2" t="str">
        <x:v>机器设备</x:v>
      </x:c>
      <x:c r="C10" s="6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 t="n">
        <x:f>IFERROR(0+(U21-U30-U39),"待填")</x:f>
        <x:v>0</x:v>
      </x:c>
      <x:c r="V10" s="4" t="n">
        <x:f>IFERROR(0+(V21-V30-V39),"待填")</x:f>
        <x:v>0</x:v>
      </x:c>
      <x:c r="W10" s="4" t="n">
        <x:f>IFERROR(0+(W21-W30-W39),"待填")</x:f>
        <x:v>0</x:v>
      </x:c>
    </x:row>
    <x:row r="11" ht="15.5" customHeight="1">
      <x:c r="A11" s="2"/>
      <x:c r="B11" s="2" t="str">
        <x:v>运输工具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 t="n">
        <x:f>IFERROR(0+(U22-U31-U40),"待填")</x:f>
        <x:v>0</x:v>
      </x:c>
      <x:c r="V11" s="4" t="n">
        <x:f>IFERROR(0+(V22-V31-V40),"待填")</x:f>
        <x:v>0</x:v>
      </x:c>
      <x:c r="W11" s="4" t="n">
        <x:f>IFERROR(0+(W22-W31-W40),"待填")</x:f>
        <x:v>0</x:v>
      </x:c>
    </x:row>
    <x:row r="12" ht="15.5" customHeight="1">
      <x:c r="A12" s="2"/>
      <x:c r="B12" s="2" t="str">
        <x:v>融资租入固定资产</x:v>
      </x:c>
      <x:c r="C12" s="6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 t="n">
        <x:f>IFERROR(0+(U23-U32-U41),"待填")</x:f>
        <x:v>0</x:v>
      </x:c>
      <x:c r="V12" s="4" t="n">
        <x:f>IFERROR(0+(V23-V32-V41),"待填")</x:f>
        <x:v>0</x:v>
      </x:c>
      <x:c r="W12" s="4" t="n">
        <x:f>IFERROR(0+(W23-W32-W41),"待填")</x:f>
        <x:v>0</x:v>
      </x:c>
    </x:row>
    <x:row r="13" ht="15.5" customHeight="1">
      <x:c r="A13" s="2"/>
      <x:c r="B13" s="2" t="str">
        <x:v>电子设备</x:v>
      </x:c>
      <x:c r="C13" s="6" t="str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 t="n">
        <x:f>IFERROR(0+(U24-U33-U42),"待填")</x:f>
        <x:v>0</x:v>
      </x:c>
      <x:c r="V13" s="4" t="n">
        <x:f>IFERROR(0+(V24-V33-V42),"待填")</x:f>
        <x:v>0</x:v>
      </x:c>
      <x:c r="W13" s="4" t="n">
        <x:f>IFERROR(0+(W24-W33-W42),"待填")</x:f>
        <x:v>0</x:v>
      </x:c>
    </x:row>
    <x:row r="14" ht="15.5" customHeight="1">
      <x:c r="A14" s="2"/>
      <x:c r="B14" s="38" t="str">
        <x:v>期末账面净值合计</x:v>
      </x:c>
      <x:c r="C14" s="39" t="str"/>
      <x:c r="D14" s="41" t="n">
        <x:f>IFERROR(0+(SUM(D7:D13)),"待填")</x:f>
        <x:v>0</x:v>
      </x:c>
      <x:c r="E14" s="41" t="n">
        <x:f>IFERROR(0+(SUM(E7:E13)),"待填")</x:f>
        <x:v>0</x:v>
      </x:c>
      <x:c r="F14" s="41" t="n">
        <x:f>IFERROR(0+(SUM(F7:F13)),"待填")</x:f>
        <x:v>0</x:v>
      </x:c>
      <x:c r="G14" s="41" t="n">
        <x:f>IFERROR(0+(SUM(G7:G13)),"待填")</x:f>
        <x:v>0</x:v>
      </x:c>
      <x:c r="H14" s="41" t="n">
        <x:f>IFERROR(0+(SUM(H7:H13)),"待填")</x:f>
        <x:v>0</x:v>
      </x:c>
      <x:c r="I14" s="41" t="n">
        <x:f>IFERROR(0+(SUM(I7:I13)),"待填")</x:f>
        <x:v>0</x:v>
      </x:c>
      <x:c r="J14" s="41" t="n">
        <x:f>IFERROR(0+(SUM(J7:J13)),"待填")</x:f>
        <x:v>0</x:v>
      </x:c>
      <x:c r="K14" s="41" t="n">
        <x:f>IFERROR(0+(SUM(K7:K13)),"待填")</x:f>
        <x:v>0</x:v>
      </x:c>
      <x:c r="L14" s="41" t="n">
        <x:f>IFERROR(0+(SUM(L7:L13)),"待填")</x:f>
        <x:v>0</x:v>
      </x:c>
      <x:c r="M14" s="41" t="n">
        <x:f>IFERROR(0+(SUM(M7:M13)),"待填")</x:f>
        <x:v>0</x:v>
      </x:c>
      <x:c r="N14" s="41" t="n">
        <x:f>IFERROR(0+(SUM(N7:N13)),"待填")</x:f>
        <x:v>0</x:v>
      </x:c>
      <x:c r="O14" s="41" t="n">
        <x:f>IFERROR(0+(SUM(O7:O13)),"待填")</x:f>
        <x:v>0</x:v>
      </x:c>
      <x:c r="P14" s="41" t="n">
        <x:f>IFERROR(0+(SUM(P7:P13)),"待填")</x:f>
        <x:v>0</x:v>
      </x:c>
      <x:c r="Q14" s="41" t="n">
        <x:f>IFERROR(0+(SUM(Q7:Q13)),"待填")</x:f>
        <x:v>0</x:v>
      </x:c>
      <x:c r="R14" s="41" t="n">
        <x:f>IFERROR(0+(SUM(R7:R13)),"待填")</x:f>
        <x:v>0</x:v>
      </x:c>
      <x:c r="S14" s="41" t="n">
        <x:f>IFERROR(0+(SUM(S7:S13)),"待填")</x:f>
        <x:v>0</x:v>
      </x:c>
      <x:c r="T14" s="41" t="n">
        <x:f>IFERROR(0+(SUM(T7:T13)),"待填")</x:f>
        <x:v>0</x:v>
      </x:c>
      <x:c r="U14" s="41" t="n">
        <x:f>IFERROR(0+(SUM(U7:U13)),"待填")</x:f>
        <x:v>0</x:v>
      </x:c>
      <x:c r="V14" s="41" t="n">
        <x:f>IFERROR(0+(SUM(V7:V13)),"待填")</x:f>
        <x:v>0</x:v>
      </x:c>
      <x:c r="W14" s="41" t="n">
        <x:f>IFERROR(0+(SUM(W7:W13)),"待填")</x:f>
        <x:v>0</x:v>
      </x:c>
    </x:row>
    <x:row r="15" ht="15.5" customHeight="1">
      <x:c r="A15" s="2"/>
      <x:c r="B15" s="2" t="str">
        <x:v>资产负债表披露净值</x:v>
      </x:c>
      <x:c r="C15" s="6" t="str"/>
      <x:c r="D15" s="4"/>
      <x:c r="E15" s="4" t="n">
        <x:f>IFERROR(0+('示例公司三表'!D94*1000),"待填")</x:f>
        <x:v>0</x:v>
      </x:c>
      <x:c r="F15" s="4" t="n">
        <x:f>IFERROR(0+('示例公司三表'!E94*1000),"待填")</x:f>
        <x:v>0</x:v>
      </x:c>
      <x:c r="G15" s="4" t="n">
        <x:f>IFERROR(0+('示例公司三表'!F94*1000),"待填")</x:f>
        <x:v>0</x:v>
      </x:c>
      <x:c r="H15" s="4" t="n">
        <x:f>IFERROR(0+('示例公司三表'!G94*1000),"待填")</x:f>
        <x:v>0</x:v>
      </x:c>
      <x:c r="I15" s="4" t="n">
        <x:f>IFERROR(0+('示例公司三表'!H94*1000),"待填")</x:f>
        <x:v>0</x:v>
      </x:c>
      <x:c r="J15" s="4" t="n">
        <x:f>IFERROR(0+('示例公司三表'!I94*1000),"待填")</x:f>
        <x:v>0</x:v>
      </x:c>
      <x:c r="K15" s="4" t="n">
        <x:f>IFERROR(0+('示例公司三表'!J94*1000),"待填")</x:f>
        <x:v>0</x:v>
      </x:c>
      <x:c r="L15" s="4" t="n">
        <x:f>IFERROR(0+('示例公司三表'!K94*1000),"待填")</x:f>
        <x:v>0</x:v>
      </x:c>
      <x:c r="M15" s="4" t="n">
        <x:f>IFERROR(0+('示例公司三表'!L94*1000),"待填")</x:f>
        <x:v>0</x:v>
      </x:c>
      <x:c r="N15" s="4" t="n">
        <x:f>IFERROR(0+('示例公司三表'!M94*1000),"待填")</x:f>
        <x:v>0</x:v>
      </x:c>
      <x:c r="O15" s="4" t="n">
        <x:f>IFERROR(0+('示例公司三表'!N94*1000),"待填")</x:f>
        <x:v>0</x:v>
      </x:c>
      <x:c r="P15" s="4" t="n">
        <x:f>IFERROR(0+('示例公司三表'!O94*1000),"待填")</x:f>
        <x:v>0</x:v>
      </x:c>
      <x:c r="Q15" s="4" t="n">
        <x:f>IFERROR(0+('示例公司三表'!P94*1000),"待填")</x:f>
        <x:v>0</x:v>
      </x:c>
      <x:c r="R15" s="4" t="n">
        <x:f>IFERROR(0+('示例公司三表'!Q94*1000),"待填")</x:f>
        <x:v>0</x:v>
      </x:c>
      <x:c r="S15" s="4" t="n">
        <x:f>IFERROR(0+('示例公司三表'!R94*1000),"待填")</x:f>
        <x:v>0</x:v>
      </x:c>
      <x:c r="T15" s="4" t="n">
        <x:f>IFERROR(0+('示例公司三表'!S94*1000),"待填")</x:f>
        <x:v>0</x:v>
      </x:c>
      <x:c r="U15" s="4"/>
      <x:c r="V15" s="4"/>
      <x:c r="W15" s="4"/>
    </x:row>
    <x:row r="16" ht="15.5" customHeight="1">
      <x:c r="A16" s="2"/>
      <x:c r="B16" s="29" t="str">
        <x:v>分类净值与合并报表差额</x:v>
      </x:c>
      <x:c r="C16" s="32" t="str"/>
      <x:c r="D16" s="33" t="n">
        <x:f>IFERROR(0+(D14-D15),"待填")</x:f>
        <x:v>0</x:v>
      </x:c>
      <x:c r="E16" s="33" t="n">
        <x:f>IFERROR(0+(E14-E15),"待填")</x:f>
        <x:v>0</x:v>
      </x:c>
      <x:c r="F16" s="33" t="n">
        <x:f>IFERROR(0+(F14-F15),"待填")</x:f>
        <x:v>0</x:v>
      </x:c>
      <x:c r="G16" s="33" t="n">
        <x:f>IFERROR(0+(G14-G15),"待填")</x:f>
        <x:v>0</x:v>
      </x:c>
      <x:c r="H16" s="33" t="n">
        <x:f>IFERROR(0+(H14-H15),"待填")</x:f>
        <x:v>0</x:v>
      </x:c>
      <x:c r="I16" s="33" t="n">
        <x:f>IFERROR(0+(I14-I15),"待填")</x:f>
        <x:v>0</x:v>
      </x:c>
      <x:c r="J16" s="33" t="n">
        <x:f>IFERROR(0+(J14-J15),"待填")</x:f>
        <x:v>0</x:v>
      </x:c>
      <x:c r="K16" s="33" t="n">
        <x:f>IFERROR(0+(K14-K15),"待填")</x:f>
        <x:v>0</x:v>
      </x:c>
      <x:c r="L16" s="33" t="n">
        <x:f>IFERROR(0+(L14-L15),"待填")</x:f>
        <x:v>0</x:v>
      </x:c>
      <x:c r="M16" s="33" t="n">
        <x:f>IFERROR(0+(M14-M15),"待填")</x:f>
        <x:v>0</x:v>
      </x:c>
      <x:c r="N16" s="33" t="n">
        <x:f>IFERROR(0+(N14-N15),"待填")</x:f>
        <x:v>0</x:v>
      </x:c>
      <x:c r="O16" s="33" t="n">
        <x:f>IFERROR(0+(O14-O15),"待填")</x:f>
        <x:v>0</x:v>
      </x:c>
      <x:c r="P16" s="33" t="n">
        <x:f>IFERROR(0+(P14-P15),"待填")</x:f>
        <x:v>0</x:v>
      </x:c>
      <x:c r="Q16" s="33" t="n">
        <x:f>IFERROR(0+(Q14-Q15),"待填")</x:f>
        <x:v>0</x:v>
      </x:c>
      <x:c r="R16" s="33" t="n">
        <x:f>IFERROR(0+(R14-R15),"待填")</x:f>
        <x:v>0</x:v>
      </x:c>
      <x:c r="S16" s="33" t="n">
        <x:f>IFERROR(0+(S14-S15),"待填")</x:f>
        <x:v>0</x:v>
      </x:c>
      <x:c r="T16" s="33" t="n">
        <x:f>IFERROR(0+(T14-T15),"待填")</x:f>
        <x:v>0</x:v>
      </x:c>
      <x:c r="U16" s="33"/>
      <x:c r="V16" s="33"/>
      <x:c r="W16" s="33"/>
    </x:row>
    <x:row r="17" ht="21" customHeight="1">
      <x:c r="A17" s="2"/>
      <x:c r="B17" s="25" t="str">
        <x:v>2、期末账面原价</x:v>
      </x:c>
      <x:c r="C17" s="26" t="str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</x:row>
    <x:row r="18" ht="15.5" customHeight="1">
      <x:c r="A18" s="2"/>
      <x:c r="B18" s="2" t="str">
        <x:v>房屋及建筑物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n">
        <x:f>IFERROR(0+(T18+U101+U92-U110),"待填")</x:f>
        <x:v>0</x:v>
      </x:c>
      <x:c r="V18" s="4" t="n">
        <x:f>IFERROR(0+(U18+V101+V92-V110),"待填")</x:f>
        <x:v>0</x:v>
      </x:c>
      <x:c r="W18" s="4" t="n">
        <x:f>IFERROR(0+(V18+W101+W92-W110),"待填")</x:f>
        <x:v>0</x:v>
      </x:c>
    </x:row>
    <x:row r="19" ht="15.5" customHeight="1">
      <x:c r="A19" s="2"/>
      <x:c r="B19" s="2" t="str">
        <x:v>通用设备</x:v>
      </x:c>
      <x:c r="C19" s="6" t="str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 t="n">
        <x:f>IFERROR(0+(T19+U102+U93-U111),"待填")</x:f>
        <x:v>0</x:v>
      </x:c>
      <x:c r="V19" s="4" t="n">
        <x:f>IFERROR(0+(U19+V102+V93-V111),"待填")</x:f>
        <x:v>0</x:v>
      </x:c>
      <x:c r="W19" s="4" t="n">
        <x:f>IFERROR(0+(V19+W102+W93-W111),"待填")</x:f>
        <x:v>0</x:v>
      </x:c>
    </x:row>
    <x:row r="20" ht="15.5" customHeight="1">
      <x:c r="A20" s="2"/>
      <x:c r="B20" s="2" t="str">
        <x:v>专用设备</x:v>
      </x:c>
      <x:c r="C20" s="6" t="str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 t="n">
        <x:f>IFERROR(0+(T20+U103+U94-U112),"待填")</x:f>
        <x:v>0</x:v>
      </x:c>
      <x:c r="V20" s="4" t="n">
        <x:f>IFERROR(0+(U20+V103+V94-V112),"待填")</x:f>
        <x:v>0</x:v>
      </x:c>
      <x:c r="W20" s="4" t="n">
        <x:f>IFERROR(0+(V20+W103+W94-W112),"待填")</x:f>
        <x:v>0</x:v>
      </x:c>
    </x:row>
    <x:row r="21" ht="15.5" customHeight="1">
      <x:c r="A21" s="2"/>
      <x:c r="B21" s="2" t="str">
        <x:v>机器设备</x:v>
      </x:c>
      <x:c r="C21" s="6" t="str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 t="n">
        <x:f>IFERROR(0+(T21+U104+U95-U113),"待填")</x:f>
        <x:v>0</x:v>
      </x:c>
      <x:c r="V21" s="4" t="n">
        <x:f>IFERROR(0+(U21+V104+V95-V113),"待填")</x:f>
        <x:v>0</x:v>
      </x:c>
      <x:c r="W21" s="4" t="n">
        <x:f>IFERROR(0+(V21+W104+W95-W113),"待填")</x:f>
        <x:v>0</x:v>
      </x:c>
    </x:row>
    <x:row r="22" ht="15.5" customHeight="1">
      <x:c r="A22" s="2"/>
      <x:c r="B22" s="2" t="str">
        <x:v>运输工具</x:v>
      </x:c>
      <x:c r="C22" s="6" t="str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n">
        <x:f>IFERROR(0+(T22+U105+U96-U114),"待填")</x:f>
        <x:v>0</x:v>
      </x:c>
      <x:c r="V22" s="4" t="n">
        <x:f>IFERROR(0+(U22+V105+V96-V114),"待填")</x:f>
        <x:v>0</x:v>
      </x:c>
      <x:c r="W22" s="4" t="n">
        <x:f>IFERROR(0+(V22+W105+W96-W114),"待填")</x:f>
        <x:v>0</x:v>
      </x:c>
    </x:row>
    <x:row r="23" ht="15.5" customHeight="1">
      <x:c r="A23" s="2"/>
      <x:c r="B23" s="2" t="str">
        <x:v>融资租入固定资产</x:v>
      </x:c>
      <x:c r="C23" s="6" t="str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n">
        <x:f>IFERROR(0+(T23+U106+U97-U115),"待填")</x:f>
        <x:v>0</x:v>
      </x:c>
      <x:c r="V23" s="4" t="n">
        <x:f>IFERROR(0+(U23+V106+V97-V115),"待填")</x:f>
        <x:v>0</x:v>
      </x:c>
      <x:c r="W23" s="4" t="n">
        <x:f>IFERROR(0+(V23+W106+W97-W115),"待填")</x:f>
        <x:v>0</x:v>
      </x:c>
    </x:row>
    <x:row r="24" ht="15.5" customHeight="1">
      <x:c r="A24" s="2"/>
      <x:c r="B24" s="2" t="str">
        <x:v>电子设备</x:v>
      </x:c>
      <x:c r="C24" s="6" t="str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 t="n">
        <x:f>IFERROR(0+(T24+U107+U98-U116),"待填")</x:f>
        <x:v>0</x:v>
      </x:c>
      <x:c r="V24" s="4" t="n">
        <x:f>IFERROR(0+(U24+V107+V98-V116),"待填")</x:f>
        <x:v>0</x:v>
      </x:c>
      <x:c r="W24" s="4" t="n">
        <x:f>IFERROR(0+(V24+W107+W98-W116),"待填")</x:f>
        <x:v>0</x:v>
      </x:c>
    </x:row>
    <x:row r="25" ht="15.5" customHeight="1">
      <x:c r="A25" s="2"/>
      <x:c r="B25" s="38" t="str">
        <x:v>期末账面原价合计</x:v>
      </x:c>
      <x:c r="C25" s="39" t="str"/>
      <x:c r="D25" s="41" t="n">
        <x:f>IFERROR(0+(SUM(D18:D24)),"待填")</x:f>
        <x:v>0</x:v>
      </x:c>
      <x:c r="E25" s="41" t="n">
        <x:f>IFERROR(0+(SUM(E18:E24)),"待填")</x:f>
        <x:v>0</x:v>
      </x:c>
      <x:c r="F25" s="41" t="n">
        <x:f>IFERROR(0+(SUM(F18:F24)),"待填")</x:f>
        <x:v>0</x:v>
      </x:c>
      <x:c r="G25" s="41" t="n">
        <x:f>IFERROR(0+(SUM(G18:G24)),"待填")</x:f>
        <x:v>0</x:v>
      </x:c>
      <x:c r="H25" s="41" t="n">
        <x:f>IFERROR(0+(SUM(H18:H24)),"待填")</x:f>
        <x:v>0</x:v>
      </x:c>
      <x:c r="I25" s="41" t="n">
        <x:f>IFERROR(0+(SUM(I18:I24)),"待填")</x:f>
        <x:v>0</x:v>
      </x:c>
      <x:c r="J25" s="41" t="n">
        <x:f>IFERROR(0+(SUM(J18:J24)),"待填")</x:f>
        <x:v>0</x:v>
      </x:c>
      <x:c r="K25" s="41" t="n">
        <x:f>IFERROR(0+(SUM(K18:K24)),"待填")</x:f>
        <x:v>0</x:v>
      </x:c>
      <x:c r="L25" s="41" t="n">
        <x:f>IFERROR(0+(SUM(L18:L24)),"待填")</x:f>
        <x:v>0</x:v>
      </x:c>
      <x:c r="M25" s="41" t="n">
        <x:f>IFERROR(0+(SUM(M18:M24)),"待填")</x:f>
        <x:v>0</x:v>
      </x:c>
      <x:c r="N25" s="41" t="n">
        <x:f>IFERROR(0+(SUM(N18:N24)),"待填")</x:f>
        <x:v>0</x:v>
      </x:c>
      <x:c r="O25" s="41" t="n">
        <x:f>IFERROR(0+(SUM(O18:O24)),"待填")</x:f>
        <x:v>0</x:v>
      </x:c>
      <x:c r="P25" s="41" t="n">
        <x:f>IFERROR(0+(SUM(P18:P24)),"待填")</x:f>
        <x:v>0</x:v>
      </x:c>
      <x:c r="Q25" s="41" t="n">
        <x:f>IFERROR(0+(SUM(Q18:Q24)),"待填")</x:f>
        <x:v>0</x:v>
      </x:c>
      <x:c r="R25" s="41" t="n">
        <x:f>IFERROR(0+(SUM(R18:R24)),"待填")</x:f>
        <x:v>0</x:v>
      </x:c>
      <x:c r="S25" s="41" t="n">
        <x:f>IFERROR(0+(SUM(S18:S24)),"待填")</x:f>
        <x:v>0</x:v>
      </x:c>
      <x:c r="T25" s="41" t="n">
        <x:f>IFERROR(0+(SUM(T18:T24)),"待填")</x:f>
        <x:v>0</x:v>
      </x:c>
      <x:c r="U25" s="41" t="n">
        <x:f>IFERROR(0+(SUM(U18:U24)),"待填")</x:f>
        <x:v>0</x:v>
      </x:c>
      <x:c r="V25" s="41" t="n">
        <x:f>IFERROR(0+(SUM(V18:V24)),"待填")</x:f>
        <x:v>0</x:v>
      </x:c>
      <x:c r="W25" s="41" t="n">
        <x:f>IFERROR(0+(SUM(W18:W24)),"待填")</x:f>
        <x:v>0</x:v>
      </x:c>
    </x:row>
    <x:row r="26" ht="21" customHeight="1">
      <x:c r="A26" s="2"/>
      <x:c r="B26" s="25" t="str">
        <x:v>3、期末累计折旧</x:v>
      </x:c>
      <x:c r="C26" s="26" t="str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</x:row>
    <x:row r="27" ht="15.5" customHeight="1">
      <x:c r="A27" s="2"/>
      <x:c r="B27" s="2" t="str">
        <x:v>房屋及建筑物</x:v>
      </x:c>
      <x:c r="C27" s="6" t="str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 t="n">
        <x:f>IFERROR(0+(T27*(1-U74)+U45),"待填")</x:f>
        <x:v>0</x:v>
      </x:c>
      <x:c r="V27" s="4" t="n">
        <x:f>IFERROR(0+(U27*(1-V74)+V45),"待填")</x:f>
        <x:v>0</x:v>
      </x:c>
      <x:c r="W27" s="4" t="n">
        <x:f>IFERROR(0+(V27*(1-W74)+W45),"待填")</x:f>
        <x:v>0</x:v>
      </x:c>
    </x:row>
    <x:row r="28" ht="15.5" customHeight="1">
      <x:c r="A28" s="2"/>
      <x:c r="B28" s="2" t="str">
        <x:v>通用设备</x:v>
      </x:c>
      <x:c r="C28" s="6" t="str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 t="n">
        <x:f>IFERROR(0+(T28*(1-U75)+U46),"待填")</x:f>
        <x:v>0</x:v>
      </x:c>
      <x:c r="V28" s="4" t="n">
        <x:f>IFERROR(0+(U28*(1-V75)+V46),"待填")</x:f>
        <x:v>0</x:v>
      </x:c>
      <x:c r="W28" s="4" t="n">
        <x:f>IFERROR(0+(V28*(1-W75)+W46),"待填")</x:f>
        <x:v>0</x:v>
      </x:c>
    </x:row>
    <x:row r="29" ht="15.5" customHeight="1">
      <x:c r="A29" s="2"/>
      <x:c r="B29" s="2" t="str">
        <x:v>专用设备</x:v>
      </x:c>
      <x:c r="C29" s="6" t="str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 t="n">
        <x:f>IFERROR(0+(T29*(1-U76)+U47),"待填")</x:f>
        <x:v>0</x:v>
      </x:c>
      <x:c r="V29" s="4" t="n">
        <x:f>IFERROR(0+(U29*(1-V76)+V47),"待填")</x:f>
        <x:v>0</x:v>
      </x:c>
      <x:c r="W29" s="4" t="n">
        <x:f>IFERROR(0+(V29*(1-W76)+W47),"待填")</x:f>
        <x:v>0</x:v>
      </x:c>
    </x:row>
    <x:row r="30" ht="15.5" customHeight="1">
      <x:c r="A30" s="2"/>
      <x:c r="B30" s="2" t="str">
        <x:v>机器设备</x:v>
      </x:c>
      <x:c r="C30" s="6" t="str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 t="n">
        <x:f>IFERROR(0+(T30*(1-U77)+U48),"待填")</x:f>
        <x:v>0</x:v>
      </x:c>
      <x:c r="V30" s="4" t="n">
        <x:f>IFERROR(0+(U30*(1-V77)+V48),"待填")</x:f>
        <x:v>0</x:v>
      </x:c>
      <x:c r="W30" s="4" t="n">
        <x:f>IFERROR(0+(V30*(1-W77)+W48),"待填")</x:f>
        <x:v>0</x:v>
      </x:c>
    </x:row>
    <x:row r="31" ht="15.5" customHeight="1">
      <x:c r="A31" s="2"/>
      <x:c r="B31" s="2" t="str">
        <x:v>运输工具</x:v>
      </x:c>
      <x:c r="C31" s="6" t="str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 t="n">
        <x:f>IFERROR(0+(T31*(1-U78)+U49),"待填")</x:f>
        <x:v>0</x:v>
      </x:c>
      <x:c r="V31" s="4" t="n">
        <x:f>IFERROR(0+(U31*(1-V78)+V49),"待填")</x:f>
        <x:v>0</x:v>
      </x:c>
      <x:c r="W31" s="4" t="n">
        <x:f>IFERROR(0+(V31*(1-W78)+W49),"待填")</x:f>
        <x:v>0</x:v>
      </x:c>
    </x:row>
    <x:row r="32" ht="15.5" customHeight="1">
      <x:c r="A32" s="2"/>
      <x:c r="B32" s="2" t="str">
        <x:v>融资租入固定资产</x:v>
      </x:c>
      <x:c r="C32" s="6" t="str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 t="n">
        <x:f>IFERROR(0+(T32*(1-U79)+U50),"待填")</x:f>
        <x:v>0</x:v>
      </x:c>
      <x:c r="V32" s="4" t="n">
        <x:f>IFERROR(0+(U32*(1-V79)+V50),"待填")</x:f>
        <x:v>0</x:v>
      </x:c>
      <x:c r="W32" s="4" t="n">
        <x:f>IFERROR(0+(V32*(1-W79)+W50),"待填")</x:f>
        <x:v>0</x:v>
      </x:c>
    </x:row>
    <x:row r="33" ht="15.5" customHeight="1">
      <x:c r="A33" s="2"/>
      <x:c r="B33" s="2" t="str">
        <x:v>电子设备</x:v>
      </x:c>
      <x:c r="C33" s="6" t="str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 t="n">
        <x:f>IFERROR(0+(T33*(1-U80)+U51),"待填")</x:f>
        <x:v>0</x:v>
      </x:c>
      <x:c r="V33" s="4" t="n">
        <x:f>IFERROR(0+(U33*(1-V80)+V51),"待填")</x:f>
        <x:v>0</x:v>
      </x:c>
      <x:c r="W33" s="4" t="n">
        <x:f>IFERROR(0+(V33*(1-W80)+W51),"待填")</x:f>
        <x:v>0</x:v>
      </x:c>
    </x:row>
    <x:row r="34" ht="15.5" customHeight="1">
      <x:c r="A34" s="2"/>
      <x:c r="B34" s="38" t="str">
        <x:v>期末累计折旧合计</x:v>
      </x:c>
      <x:c r="C34" s="39" t="str"/>
      <x:c r="D34" s="41" t="n">
        <x:f>IFERROR(0+(SUM(D27:D33)),"待填")</x:f>
        <x:v>0</x:v>
      </x:c>
      <x:c r="E34" s="41" t="n">
        <x:f>IFERROR(0+(SUM(E27:E33)),"待填")</x:f>
        <x:v>0</x:v>
      </x:c>
      <x:c r="F34" s="41" t="n">
        <x:f>IFERROR(0+(SUM(F27:F33)),"待填")</x:f>
        <x:v>0</x:v>
      </x:c>
      <x:c r="G34" s="41" t="n">
        <x:f>IFERROR(0+(SUM(G27:G33)),"待填")</x:f>
        <x:v>0</x:v>
      </x:c>
      <x:c r="H34" s="41" t="n">
        <x:f>IFERROR(0+(SUM(H27:H33)),"待填")</x:f>
        <x:v>0</x:v>
      </x:c>
      <x:c r="I34" s="41" t="n">
        <x:f>IFERROR(0+(SUM(I27:I33)),"待填")</x:f>
        <x:v>0</x:v>
      </x:c>
      <x:c r="J34" s="41" t="n">
        <x:f>IFERROR(0+(SUM(J27:J33)),"待填")</x:f>
        <x:v>0</x:v>
      </x:c>
      <x:c r="K34" s="41" t="n">
        <x:f>IFERROR(0+(SUM(K27:K33)),"待填")</x:f>
        <x:v>0</x:v>
      </x:c>
      <x:c r="L34" s="41" t="n">
        <x:f>IFERROR(0+(SUM(L27:L33)),"待填")</x:f>
        <x:v>0</x:v>
      </x:c>
      <x:c r="M34" s="41" t="n">
        <x:f>IFERROR(0+(SUM(M27:M33)),"待填")</x:f>
        <x:v>0</x:v>
      </x:c>
      <x:c r="N34" s="41" t="n">
        <x:f>IFERROR(0+(SUM(N27:N33)),"待填")</x:f>
        <x:v>0</x:v>
      </x:c>
      <x:c r="O34" s="41" t="n">
        <x:f>IFERROR(0+(SUM(O27:O33)),"待填")</x:f>
        <x:v>0</x:v>
      </x:c>
      <x:c r="P34" s="41" t="n">
        <x:f>IFERROR(0+(SUM(P27:P33)),"待填")</x:f>
        <x:v>0</x:v>
      </x:c>
      <x:c r="Q34" s="41" t="n">
        <x:f>IFERROR(0+(SUM(Q27:Q33)),"待填")</x:f>
        <x:v>0</x:v>
      </x:c>
      <x:c r="R34" s="41" t="n">
        <x:f>IFERROR(0+(SUM(R27:R33)),"待填")</x:f>
        <x:v>0</x:v>
      </x:c>
      <x:c r="S34" s="41" t="n">
        <x:f>IFERROR(0+(SUM(S27:S33)),"待填")</x:f>
        <x:v>0</x:v>
      </x:c>
      <x:c r="T34" s="41" t="n">
        <x:f>IFERROR(0+(SUM(T27:T33)),"待填")</x:f>
        <x:v>0</x:v>
      </x:c>
      <x:c r="U34" s="41" t="n">
        <x:f>IFERROR(0+(SUM(U27:U33)),"待填")</x:f>
        <x:v>0</x:v>
      </x:c>
      <x:c r="V34" s="41" t="n">
        <x:f>IFERROR(0+(SUM(V27:V33)),"待填")</x:f>
        <x:v>0</x:v>
      </x:c>
      <x:c r="W34" s="41" t="n">
        <x:f>IFERROR(0+(SUM(W27:W33)),"待填")</x:f>
        <x:v>0</x:v>
      </x:c>
    </x:row>
    <x:row r="35" ht="21" customHeight="1">
      <x:c r="A35" s="2"/>
      <x:c r="B35" s="25" t="str">
        <x:v>4、期末减值准备</x:v>
      </x:c>
      <x:c r="C35" s="26" t="str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</x:row>
    <x:row r="36" ht="15.5" customHeight="1">
      <x:c r="A36" s="2"/>
      <x:c r="B36" s="2" t="str">
        <x:v>房屋及建筑物</x:v>
      </x:c>
      <x:c r="C36" s="6" t="str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 t="n">
        <x:f>IFERROR(0+(T36),"待填")</x:f>
        <x:v>0</x:v>
      </x:c>
      <x:c r="V36" s="4" t="n">
        <x:f>IFERROR(0+(U36),"待填")</x:f>
        <x:v>0</x:v>
      </x:c>
      <x:c r="W36" s="4" t="n">
        <x:f>IFERROR(0+(V36),"待填")</x:f>
        <x:v>0</x:v>
      </x:c>
    </x:row>
    <x:row r="37" ht="15.5" customHeight="1">
      <x:c r="A37" s="2"/>
      <x:c r="B37" s="2" t="str">
        <x:v>通用设备</x:v>
      </x:c>
      <x:c r="C37" s="6" t="str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 t="n">
        <x:f>IFERROR(0+(T37),"待填")</x:f>
        <x:v>0</x:v>
      </x:c>
      <x:c r="V37" s="4" t="n">
        <x:f>IFERROR(0+(U37),"待填")</x:f>
        <x:v>0</x:v>
      </x:c>
      <x:c r="W37" s="4" t="n">
        <x:f>IFERROR(0+(V37),"待填")</x:f>
        <x:v>0</x:v>
      </x:c>
    </x:row>
    <x:row r="38" ht="15.5" customHeight="1">
      <x:c r="A38" s="2"/>
      <x:c r="B38" s="2" t="str">
        <x:v>专用设备</x:v>
      </x:c>
      <x:c r="C38" s="6" t="str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 t="n">
        <x:f>IFERROR(0+(T38),"待填")</x:f>
        <x:v>0</x:v>
      </x:c>
      <x:c r="V38" s="4" t="n">
        <x:f>IFERROR(0+(U38),"待填")</x:f>
        <x:v>0</x:v>
      </x:c>
      <x:c r="W38" s="4" t="n">
        <x:f>IFERROR(0+(V38),"待填")</x:f>
        <x:v>0</x:v>
      </x:c>
    </x:row>
    <x:row r="39" ht="15.5" customHeight="1">
      <x:c r="A39" s="2"/>
      <x:c r="B39" s="2" t="str">
        <x:v>机器设备</x:v>
      </x:c>
      <x:c r="C39" s="6" t="str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 t="n">
        <x:f>IFERROR(0+(T39),"待填")</x:f>
        <x:v>0</x:v>
      </x:c>
      <x:c r="V39" s="4" t="n">
        <x:f>IFERROR(0+(U39),"待填")</x:f>
        <x:v>0</x:v>
      </x:c>
      <x:c r="W39" s="4" t="n">
        <x:f>IFERROR(0+(V39),"待填")</x:f>
        <x:v>0</x:v>
      </x:c>
    </x:row>
    <x:row r="40" ht="15.5" customHeight="1">
      <x:c r="A40" s="2"/>
      <x:c r="B40" s="2" t="str">
        <x:v>运输工具</x:v>
      </x:c>
      <x:c r="C40" s="6" t="str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 t="n">
        <x:f>IFERROR(0+(T40),"待填")</x:f>
        <x:v>0</x:v>
      </x:c>
      <x:c r="V40" s="4" t="n">
        <x:f>IFERROR(0+(U40),"待填")</x:f>
        <x:v>0</x:v>
      </x:c>
      <x:c r="W40" s="4" t="n">
        <x:f>IFERROR(0+(V40),"待填")</x:f>
        <x:v>0</x:v>
      </x:c>
    </x:row>
    <x:row r="41" ht="15.5" customHeight="1">
      <x:c r="A41" s="2"/>
      <x:c r="B41" s="2" t="str">
        <x:v>融资租入固定资产</x:v>
      </x:c>
      <x:c r="C41" s="6" t="str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 t="n">
        <x:f>IFERROR(0+(T41),"待填")</x:f>
        <x:v>0</x:v>
      </x:c>
      <x:c r="V41" s="4" t="n">
        <x:f>IFERROR(0+(U41),"待填")</x:f>
        <x:v>0</x:v>
      </x:c>
      <x:c r="W41" s="4" t="n">
        <x:f>IFERROR(0+(V41),"待填")</x:f>
        <x:v>0</x:v>
      </x:c>
    </x:row>
    <x:row r="42" ht="15.5" customHeight="1">
      <x:c r="A42" s="2"/>
      <x:c r="B42" s="2" t="str">
        <x:v>电子设备</x:v>
      </x:c>
      <x:c r="C42" s="6" t="str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 t="n">
        <x:f>IFERROR(0+(T42),"待填")</x:f>
        <x:v>0</x:v>
      </x:c>
      <x:c r="V42" s="4" t="n">
        <x:f>IFERROR(0+(U42),"待填")</x:f>
        <x:v>0</x:v>
      </x:c>
      <x:c r="W42" s="4" t="n">
        <x:f>IFERROR(0+(V42),"待填")</x:f>
        <x:v>0</x:v>
      </x:c>
    </x:row>
    <x:row r="43" ht="15.5" customHeight="1">
      <x:c r="A43" s="2"/>
      <x:c r="B43" s="38" t="str">
        <x:v>期末减值准备合计</x:v>
      </x:c>
      <x:c r="C43" s="39" t="str"/>
      <x:c r="D43" s="41" t="n">
        <x:f>IFERROR(0+(SUM(D36:D42)),"待填")</x:f>
        <x:v>0</x:v>
      </x:c>
      <x:c r="E43" s="41" t="n">
        <x:f>IFERROR(0+(SUM(E36:E42)),"待填")</x:f>
        <x:v>0</x:v>
      </x:c>
      <x:c r="F43" s="41" t="n">
        <x:f>IFERROR(0+(SUM(F36:F42)),"待填")</x:f>
        <x:v>0</x:v>
      </x:c>
      <x:c r="G43" s="41" t="n">
        <x:f>IFERROR(0+(SUM(G36:G42)),"待填")</x:f>
        <x:v>0</x:v>
      </x:c>
      <x:c r="H43" s="41" t="n">
        <x:f>IFERROR(0+(SUM(H36:H42)),"待填")</x:f>
        <x:v>0</x:v>
      </x:c>
      <x:c r="I43" s="41" t="n">
        <x:f>IFERROR(0+(SUM(I36:I42)),"待填")</x:f>
        <x:v>0</x:v>
      </x:c>
      <x:c r="J43" s="41" t="n">
        <x:f>IFERROR(0+(SUM(J36:J42)),"待填")</x:f>
        <x:v>0</x:v>
      </x:c>
      <x:c r="K43" s="41" t="n">
        <x:f>IFERROR(0+(SUM(K36:K42)),"待填")</x:f>
        <x:v>0</x:v>
      </x:c>
      <x:c r="L43" s="41" t="n">
        <x:f>IFERROR(0+(SUM(L36:L42)),"待填")</x:f>
        <x:v>0</x:v>
      </x:c>
      <x:c r="M43" s="41" t="n">
        <x:f>IFERROR(0+(SUM(M36:M42)),"待填")</x:f>
        <x:v>0</x:v>
      </x:c>
      <x:c r="N43" s="41" t="n">
        <x:f>IFERROR(0+(SUM(N36:N42)),"待填")</x:f>
        <x:v>0</x:v>
      </x:c>
      <x:c r="O43" s="41" t="n">
        <x:f>IFERROR(0+(SUM(O36:O42)),"待填")</x:f>
        <x:v>0</x:v>
      </x:c>
      <x:c r="P43" s="41" t="n">
        <x:f>IFERROR(0+(SUM(P36:P42)),"待填")</x:f>
        <x:v>0</x:v>
      </x:c>
      <x:c r="Q43" s="41" t="n">
        <x:f>IFERROR(0+(SUM(Q36:Q42)),"待填")</x:f>
        <x:v>0</x:v>
      </x:c>
      <x:c r="R43" s="41" t="n">
        <x:f>IFERROR(0+(SUM(R36:R42)),"待填")</x:f>
        <x:v>0</x:v>
      </x:c>
      <x:c r="S43" s="41" t="n">
        <x:f>IFERROR(0+(SUM(S36:S42)),"待填")</x:f>
        <x:v>0</x:v>
      </x:c>
      <x:c r="T43" s="41" t="n">
        <x:f>IFERROR(0+(SUM(T36:T42)),"待填")</x:f>
        <x:v>0</x:v>
      </x:c>
      <x:c r="U43" s="41" t="n">
        <x:f>IFERROR(0+(SUM(U36:U42)),"待填")</x:f>
        <x:v>0</x:v>
      </x:c>
      <x:c r="V43" s="41" t="n">
        <x:f>IFERROR(0+(SUM(V36:V42)),"待填")</x:f>
        <x:v>0</x:v>
      </x:c>
      <x:c r="W43" s="41" t="n">
        <x:f>IFERROR(0+(SUM(W36:W42)),"待填")</x:f>
        <x:v>0</x:v>
      </x:c>
    </x:row>
    <x:row r="44" ht="21" customHeight="1">
      <x:c r="A44" s="2"/>
      <x:c r="B44" s="25" t="str">
        <x:v>5、本期计提折旧</x:v>
      </x:c>
      <x:c r="C44" s="26" t="str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</x:row>
    <x:row r="45" ht="15.5" customHeight="1">
      <x:c r="A45" s="2"/>
      <x:c r="B45" s="2" t="str">
        <x:v>房屋及建筑物</x:v>
      </x:c>
      <x:c r="C45" s="6" t="str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 t="n">
        <x:f>IFERROR(0+(MIN(MAX(0,T7+U101+U92),(T18+U18)/2*U83)),"待填")</x:f>
        <x:v>0</x:v>
      </x:c>
      <x:c r="V45" s="4" t="n">
        <x:f>IFERROR(0+(MIN(MAX(0,U7+V101+V92),(U18+V18)/2*V83)),"待填")</x:f>
        <x:v>0</x:v>
      </x:c>
      <x:c r="W45" s="4" t="n">
        <x:f>IFERROR(0+(MIN(MAX(0,V7+W101+W92),(V18+W18)/2*W83)),"待填")</x:f>
        <x:v>0</x:v>
      </x:c>
    </x:row>
    <x:row r="46" ht="15.5" customHeight="1">
      <x:c r="A46" s="2"/>
      <x:c r="B46" s="2" t="str">
        <x:v>通用设备</x:v>
      </x:c>
      <x:c r="C46" s="6" t="str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 t="n">
        <x:f>IFERROR(0+(MIN(MAX(0,T8+U102+U93),(T19+U19)/2*U84)),"待填")</x:f>
        <x:v>0</x:v>
      </x:c>
      <x:c r="V46" s="4" t="n">
        <x:f>IFERROR(0+(MIN(MAX(0,U8+V102+V93),(U19+V19)/2*V84)),"待填")</x:f>
        <x:v>0</x:v>
      </x:c>
      <x:c r="W46" s="4" t="n">
        <x:f>IFERROR(0+(MIN(MAX(0,V8+W102+W93),(V19+W19)/2*W84)),"待填")</x:f>
        <x:v>0</x:v>
      </x:c>
    </x:row>
    <x:row r="47" ht="15.5" customHeight="1">
      <x:c r="A47" s="2"/>
      <x:c r="B47" s="2" t="str">
        <x:v>专用设备</x:v>
      </x:c>
      <x:c r="C47" s="6" t="str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 t="n">
        <x:f>IFERROR(0+(MIN(MAX(0,T9+U103+U94),(T20+U20)/2*U85)),"待填")</x:f>
        <x:v>0</x:v>
      </x:c>
      <x:c r="V47" s="4" t="n">
        <x:f>IFERROR(0+(MIN(MAX(0,U9+V103+V94),(U20+V20)/2*V85)),"待填")</x:f>
        <x:v>0</x:v>
      </x:c>
      <x:c r="W47" s="4" t="n">
        <x:f>IFERROR(0+(MIN(MAX(0,V9+W103+W94),(V20+W20)/2*W85)),"待填")</x:f>
        <x:v>0</x:v>
      </x:c>
    </x:row>
    <x:row r="48" ht="15.5" customHeight="1">
      <x:c r="A48" s="2"/>
      <x:c r="B48" s="2" t="str">
        <x:v>机器设备</x:v>
      </x:c>
      <x:c r="C48" s="6" t="str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 t="n">
        <x:f>IFERROR(0+(MIN(MAX(0,T10+U104+U95),(T21+U21)/2*U86)),"待填")</x:f>
        <x:v>0</x:v>
      </x:c>
      <x:c r="V48" s="4" t="n">
        <x:f>IFERROR(0+(MIN(MAX(0,U10+V104+V95),(U21+V21)/2*V86)),"待填")</x:f>
        <x:v>0</x:v>
      </x:c>
      <x:c r="W48" s="4" t="n">
        <x:f>IFERROR(0+(MIN(MAX(0,V10+W104+W95),(V21+W21)/2*W86)),"待填")</x:f>
        <x:v>0</x:v>
      </x:c>
    </x:row>
    <x:row r="49" ht="15.5" customHeight="1">
      <x:c r="A49" s="2"/>
      <x:c r="B49" s="2" t="str">
        <x:v>运输工具</x:v>
      </x:c>
      <x:c r="C49" s="6" t="str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 t="n">
        <x:f>IFERROR(0+(MIN(MAX(0,T11+U105+U96),(T22+U22)/2*U87)),"待填")</x:f>
        <x:v>0</x:v>
      </x:c>
      <x:c r="V49" s="4" t="n">
        <x:f>IFERROR(0+(MIN(MAX(0,U11+V105+V96),(U22+V22)/2*V87)),"待填")</x:f>
        <x:v>0</x:v>
      </x:c>
      <x:c r="W49" s="4" t="n">
        <x:f>IFERROR(0+(MIN(MAX(0,V11+W105+W96),(V22+W22)/2*W87)),"待填")</x:f>
        <x:v>0</x:v>
      </x:c>
    </x:row>
    <x:row r="50" ht="15.5" customHeight="1">
      <x:c r="A50" s="2"/>
      <x:c r="B50" s="2" t="str">
        <x:v>融资租入固定资产</x:v>
      </x:c>
      <x:c r="C50" s="6" t="str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 t="n">
        <x:f>IFERROR(0+(MIN(MAX(0,T12+U106+U97),(T23+U23)/2*U88)),"待填")</x:f>
        <x:v>0</x:v>
      </x:c>
      <x:c r="V50" s="4" t="n">
        <x:f>IFERROR(0+(MIN(MAX(0,U12+V106+V97),(U23+V23)/2*V88)),"待填")</x:f>
        <x:v>0</x:v>
      </x:c>
      <x:c r="W50" s="4" t="n">
        <x:f>IFERROR(0+(MIN(MAX(0,V12+W106+W97),(V23+W23)/2*W88)),"待填")</x:f>
        <x:v>0</x:v>
      </x:c>
    </x:row>
    <x:row r="51" ht="15.5" customHeight="1">
      <x:c r="A51" s="2"/>
      <x:c r="B51" s="2" t="str">
        <x:v>电子设备</x:v>
      </x:c>
      <x:c r="C51" s="6" t="str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 t="n">
        <x:f>IFERROR(0+(MIN(MAX(0,T13+U107+U98),(T24+U24)/2*U89)),"待填")</x:f>
        <x:v>0</x:v>
      </x:c>
      <x:c r="V51" s="4" t="n">
        <x:f>IFERROR(0+(MIN(MAX(0,U13+V107+V98),(U24+V24)/2*V89)),"待填")</x:f>
        <x:v>0</x:v>
      </x:c>
      <x:c r="W51" s="4" t="n">
        <x:f>IFERROR(0+(MIN(MAX(0,V13+W107+W98),(V24+W24)/2*W89)),"待填")</x:f>
        <x:v>0</x:v>
      </x:c>
    </x:row>
    <x:row r="52" ht="15.5" customHeight="1">
      <x:c r="A52" s="2"/>
      <x:c r="B52" s="38" t="str">
        <x:v>本期计提折旧合计</x:v>
      </x:c>
      <x:c r="C52" s="39" t="str"/>
      <x:c r="D52" s="41" t="n">
        <x:f>IFERROR(0+(SUM(D45:D51)),"待填")</x:f>
        <x:v>0</x:v>
      </x:c>
      <x:c r="E52" s="41" t="n">
        <x:f>IFERROR(0+(SUM(E45:E51)),"待填")</x:f>
        <x:v>0</x:v>
      </x:c>
      <x:c r="F52" s="41" t="n">
        <x:f>IFERROR(0+(SUM(F45:F51)),"待填")</x:f>
        <x:v>0</x:v>
      </x:c>
      <x:c r="G52" s="41" t="n">
        <x:f>IFERROR(0+(SUM(G45:G51)),"待填")</x:f>
        <x:v>0</x:v>
      </x:c>
      <x:c r="H52" s="41" t="n">
        <x:f>IFERROR(0+(SUM(H45:H51)),"待填")</x:f>
        <x:v>0</x:v>
      </x:c>
      <x:c r="I52" s="41" t="n">
        <x:f>IFERROR(0+(SUM(I45:I51)),"待填")</x:f>
        <x:v>0</x:v>
      </x:c>
      <x:c r="J52" s="41" t="n">
        <x:f>IFERROR(0+(SUM(J45:J51)),"待填")</x:f>
        <x:v>0</x:v>
      </x:c>
      <x:c r="K52" s="41" t="n">
        <x:f>IFERROR(0+(SUM(K45:K51)),"待填")</x:f>
        <x:v>0</x:v>
      </x:c>
      <x:c r="L52" s="41" t="n">
        <x:f>IFERROR(0+(SUM(L45:L51)),"待填")</x:f>
        <x:v>0</x:v>
      </x:c>
      <x:c r="M52" s="41" t="n">
        <x:f>IFERROR(0+(SUM(M45:M51)),"待填")</x:f>
        <x:v>0</x:v>
      </x:c>
      <x:c r="N52" s="41" t="n">
        <x:f>IFERROR(0+(SUM(N45:N51)),"待填")</x:f>
        <x:v>0</x:v>
      </x:c>
      <x:c r="O52" s="41" t="n">
        <x:f>IFERROR(0+(SUM(O45:O51)),"待填")</x:f>
        <x:v>0</x:v>
      </x:c>
      <x:c r="P52" s="41" t="n">
        <x:f>IFERROR(0+(SUM(P45:P51)),"待填")</x:f>
        <x:v>0</x:v>
      </x:c>
      <x:c r="Q52" s="41" t="n">
        <x:f>IFERROR(0+(SUM(Q45:Q51)),"待填")</x:f>
        <x:v>0</x:v>
      </x:c>
      <x:c r="R52" s="41" t="n">
        <x:f>IFERROR(0+(SUM(R45:R51)),"待填")</x:f>
        <x:v>0</x:v>
      </x:c>
      <x:c r="S52" s="41" t="n">
        <x:f>IFERROR(0+(SUM(S45:S51)),"待填")</x:f>
        <x:v>0</x:v>
      </x:c>
      <x:c r="T52" s="41" t="n">
        <x:f>IFERROR(0+(SUM(T45:T51)),"待填")</x:f>
        <x:v>0</x:v>
      </x:c>
      <x:c r="U52" s="41" t="n">
        <x:f>IFERROR(0+(SUM(U45:U51)),"待填")</x:f>
        <x:v>0</x:v>
      </x:c>
      <x:c r="V52" s="41" t="n">
        <x:f>IFERROR(0+(SUM(V45:V51)),"待填")</x:f>
        <x:v>0</x:v>
      </x:c>
      <x:c r="W52" s="41" t="n">
        <x:f>IFERROR(0+(SUM(W45:W51)),"待填")</x:f>
        <x:v>0</x:v>
      </x:c>
    </x:row>
    <x:row r="53" ht="21" customHeight="1">
      <x:c r="A53" s="2"/>
      <x:c r="B53" s="25" t="str">
        <x:v>六、隐含折旧率及资产新旧度</x:v>
      </x:c>
      <x:c r="C53" s="26" t="str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</x:row>
    <x:row r="54" ht="15.5" customHeight="1">
      <x:c r="A54" s="2"/>
      <x:c r="B54" s="2" t="str">
        <x:v>房屋及建筑物</x:v>
      </x:c>
      <x:c r="C54" s="46" t="str"/>
      <x:c r="D54" s="85"/>
      <x:c r="E54" s="85" t="n">
        <x:f>IFERROR(0+(IF((0+E18)=0,0,E45/((0+E18)/2))),"待填")</x:f>
        <x:v>0</x:v>
      </x:c>
      <x:c r="F54" s="85" t="n">
        <x:f>IFERROR(0+(IF((0+F18)=0,0,F45/((0+F18)/2))),"待填")</x:f>
        <x:v>0</x:v>
      </x:c>
      <x:c r="G54" s="85" t="n">
        <x:f>IFERROR(0+(IF((0+G18)=0,0,G45/((0+G18)/2))),"待填")</x:f>
        <x:v>0</x:v>
      </x:c>
      <x:c r="H54" s="85" t="n">
        <x:f>IFERROR(0+(IF((0+H18)=0,0,H45/((0+H18)/2))),"待填")</x:f>
        <x:v>0</x:v>
      </x:c>
      <x:c r="I54" s="85" t="n">
        <x:f>IFERROR(0+(IF((0+I18)=0,0,I45/((0+I18)/2))),"待填")</x:f>
        <x:v>0</x:v>
      </x:c>
      <x:c r="J54" s="85" t="n">
        <x:f>IFERROR(0+(IF((0+J18)=0,0,J45/((0+J18)/2))),"待填")</x:f>
        <x:v>0</x:v>
      </x:c>
      <x:c r="K54" s="85" t="n">
        <x:f>IFERROR(0+(IF((0+K18)=0,0,K45/((0+K18)/2))),"待填")</x:f>
        <x:v>0</x:v>
      </x:c>
      <x:c r="L54" s="85" t="n">
        <x:f>IFERROR(0+(IF((0+L18)=0,0,L45/((0+L18)/2))),"待填")</x:f>
        <x:v>0</x:v>
      </x:c>
      <x:c r="M54" s="85" t="n">
        <x:f>IFERROR(0+(IF((0+M18)=0,0,M45/((0+M18)/2))),"待填")</x:f>
        <x:v>0</x:v>
      </x:c>
      <x:c r="N54" s="85" t="n">
        <x:f>IFERROR(0+(IF((0+N18)=0,0,N45/((0+N18)/2))),"待填")</x:f>
        <x:v>0</x:v>
      </x:c>
      <x:c r="O54" s="85" t="n">
        <x:f>IFERROR(0+(IF((0+O18)=0,0,O45/((0+O18)/2))),"待填")</x:f>
        <x:v>0</x:v>
      </x:c>
      <x:c r="P54" s="85" t="n">
        <x:f>IFERROR(0+(IF((0+P18)=0,0,P45/((0+P18)/2))),"待填")</x:f>
        <x:v>0</x:v>
      </x:c>
      <x:c r="Q54" s="85" t="n">
        <x:f>IFERROR(0+(IF((0+Q18)=0,0,Q45/((0+Q18)/2))),"待填")</x:f>
        <x:v>0</x:v>
      </x:c>
      <x:c r="R54" s="85" t="n">
        <x:f>IFERROR(0+(IF((0+R18)=0,0,R45/((0+R18)/2))),"待填")</x:f>
        <x:v>0</x:v>
      </x:c>
      <x:c r="S54" s="85" t="n">
        <x:f>IFERROR(0+(IF((0+S18)=0,0,S45/((0+S18)/2))),"待填")</x:f>
        <x:v>0</x:v>
      </x:c>
      <x:c r="T54" s="85" t="n">
        <x:f>IFERROR(0+(IF((0+T18)=0,0,T45/((0+T18)/2))),"待填")</x:f>
        <x:v>0</x:v>
      </x:c>
      <x:c r="U54" s="85" t="n">
        <x:f>IFERROR(0+(U83),"待填")</x:f>
        <x:v>0</x:v>
      </x:c>
      <x:c r="V54" s="85" t="n">
        <x:f>IFERROR(0+(V83),"待填")</x:f>
        <x:v>0</x:v>
      </x:c>
      <x:c r="W54" s="85" t="n">
        <x:f>IFERROR(0+(W83),"待填")</x:f>
        <x:v>0</x:v>
      </x:c>
    </x:row>
    <x:row r="55" ht="15.5" customHeight="1">
      <x:c r="A55" s="2"/>
      <x:c r="B55" s="2" t="str">
        <x:v>通用设备</x:v>
      </x:c>
      <x:c r="C55" s="46" t="str"/>
      <x:c r="D55" s="85"/>
      <x:c r="E55" s="85" t="n">
        <x:f>IFERROR(0+(IF((0+E19)=0,0,E46/((0+E19)/2))),"待填")</x:f>
        <x:v>0</x:v>
      </x:c>
      <x:c r="F55" s="85" t="n">
        <x:f>IFERROR(0+(IF((0+F19)=0,0,F46/((0+F19)/2))),"待填")</x:f>
        <x:v>0</x:v>
      </x:c>
      <x:c r="G55" s="85" t="n">
        <x:f>IFERROR(0+(IF((0+G19)=0,0,G46/((0+G19)/2))),"待填")</x:f>
        <x:v>0</x:v>
      </x:c>
      <x:c r="H55" s="85" t="n">
        <x:f>IFERROR(0+(IF((0+H19)=0,0,H46/((0+H19)/2))),"待填")</x:f>
        <x:v>0</x:v>
      </x:c>
      <x:c r="I55" s="85" t="n">
        <x:f>IFERROR(0+(IF((0+I19)=0,0,I46/((0+I19)/2))),"待填")</x:f>
        <x:v>0</x:v>
      </x:c>
      <x:c r="J55" s="85" t="n">
        <x:f>IFERROR(0+(IF((0+J19)=0,0,J46/((0+J19)/2))),"待填")</x:f>
        <x:v>0</x:v>
      </x:c>
      <x:c r="K55" s="85" t="n">
        <x:f>IFERROR(0+(IF((0+K19)=0,0,K46/((0+K19)/2))),"待填")</x:f>
        <x:v>0</x:v>
      </x:c>
      <x:c r="L55" s="85" t="n">
        <x:f>IFERROR(0+(IF((0+L19)=0,0,L46/((0+L19)/2))),"待填")</x:f>
        <x:v>0</x:v>
      </x:c>
      <x:c r="M55" s="85" t="n">
        <x:f>IFERROR(0+(IF((0+M19)=0,0,M46/((0+M19)/2))),"待填")</x:f>
        <x:v>0</x:v>
      </x:c>
      <x:c r="N55" s="85" t="n">
        <x:f>IFERROR(0+(IF((0+N19)=0,0,N46/((0+N19)/2))),"待填")</x:f>
        <x:v>0</x:v>
      </x:c>
      <x:c r="O55" s="85" t="n">
        <x:f>IFERROR(0+(IF((0+O19)=0,0,O46/((0+O19)/2))),"待填")</x:f>
        <x:v>0</x:v>
      </x:c>
      <x:c r="P55" s="85" t="n">
        <x:f>IFERROR(0+(IF((0+P19)=0,0,P46/((0+P19)/2))),"待填")</x:f>
        <x:v>0</x:v>
      </x:c>
      <x:c r="Q55" s="85" t="n">
        <x:f>IFERROR(0+(IF((0+Q19)=0,0,Q46/((0+Q19)/2))),"待填")</x:f>
        <x:v>0</x:v>
      </x:c>
      <x:c r="R55" s="85" t="n">
        <x:f>IFERROR(0+(IF((0+R19)=0,0,R46/((0+R19)/2))),"待填")</x:f>
        <x:v>0</x:v>
      </x:c>
      <x:c r="S55" s="85" t="n">
        <x:f>IFERROR(0+(IF((0+S19)=0,0,S46/((0+S19)/2))),"待填")</x:f>
        <x:v>0</x:v>
      </x:c>
      <x:c r="T55" s="85" t="n">
        <x:f>IFERROR(0+(IF((0+T19)=0,0,T46/((0+T19)/2))),"待填")</x:f>
        <x:v>0</x:v>
      </x:c>
      <x:c r="U55" s="85" t="n">
        <x:f>IFERROR(0+(U84),"待填")</x:f>
        <x:v>0</x:v>
      </x:c>
      <x:c r="V55" s="85" t="n">
        <x:f>IFERROR(0+(V84),"待填")</x:f>
        <x:v>0</x:v>
      </x:c>
      <x:c r="W55" s="85" t="n">
        <x:f>IFERROR(0+(W84),"待填")</x:f>
        <x:v>0</x:v>
      </x:c>
    </x:row>
    <x:row r="56" ht="15.5" customHeight="1">
      <x:c r="A56" s="2"/>
      <x:c r="B56" s="2" t="str">
        <x:v>专用设备</x:v>
      </x:c>
      <x:c r="C56" s="46" t="str"/>
      <x:c r="D56" s="85"/>
      <x:c r="E56" s="85" t="n">
        <x:f>IFERROR(0+(IF((0+E20)=0,0,E47/((0+E20)/2))),"待填")</x:f>
        <x:v>0</x:v>
      </x:c>
      <x:c r="F56" s="85" t="n">
        <x:f>IFERROR(0+(IF((0+F20)=0,0,F47/((0+F20)/2))),"待填")</x:f>
        <x:v>0</x:v>
      </x:c>
      <x:c r="G56" s="85" t="n">
        <x:f>IFERROR(0+(IF((0+G20)=0,0,G47/((0+G20)/2))),"待填")</x:f>
        <x:v>0</x:v>
      </x:c>
      <x:c r="H56" s="85" t="n">
        <x:f>IFERROR(0+(IF((0+H20)=0,0,H47/((0+H20)/2))),"待填")</x:f>
        <x:v>0</x:v>
      </x:c>
      <x:c r="I56" s="85" t="n">
        <x:f>IFERROR(0+(IF((0+I20)=0,0,I47/((0+I20)/2))),"待填")</x:f>
        <x:v>0</x:v>
      </x:c>
      <x:c r="J56" s="85" t="n">
        <x:f>IFERROR(0+(IF((0+J20)=0,0,J47/((0+J20)/2))),"待填")</x:f>
        <x:v>0</x:v>
      </x:c>
      <x:c r="K56" s="85" t="n">
        <x:f>IFERROR(0+(IF((0+K20)=0,0,K47/((0+K20)/2))),"待填")</x:f>
        <x:v>0</x:v>
      </x:c>
      <x:c r="L56" s="85" t="n">
        <x:f>IFERROR(0+(IF((0+L20)=0,0,L47/((0+L20)/2))),"待填")</x:f>
        <x:v>0</x:v>
      </x:c>
      <x:c r="M56" s="85" t="n">
        <x:f>IFERROR(0+(IF((0+M20)=0,0,M47/((0+M20)/2))),"待填")</x:f>
        <x:v>0</x:v>
      </x:c>
      <x:c r="N56" s="85" t="n">
        <x:f>IFERROR(0+(IF((0+N20)=0,0,N47/((0+N20)/2))),"待填")</x:f>
        <x:v>0</x:v>
      </x:c>
      <x:c r="O56" s="85" t="n">
        <x:f>IFERROR(0+(IF((0+O20)=0,0,O47/((0+O20)/2))),"待填")</x:f>
        <x:v>0</x:v>
      </x:c>
      <x:c r="P56" s="85" t="n">
        <x:f>IFERROR(0+(IF((0+P20)=0,0,P47/((0+P20)/2))),"待填")</x:f>
        <x:v>0</x:v>
      </x:c>
      <x:c r="Q56" s="85" t="n">
        <x:f>IFERROR(0+(IF((0+Q20)=0,0,Q47/((0+Q20)/2))),"待填")</x:f>
        <x:v>0</x:v>
      </x:c>
      <x:c r="R56" s="85" t="n">
        <x:f>IFERROR(0+(IF((0+R20)=0,0,R47/((0+R20)/2))),"待填")</x:f>
        <x:v>0</x:v>
      </x:c>
      <x:c r="S56" s="85" t="n">
        <x:f>IFERROR(0+(IF((0+S20)=0,0,S47/((0+S20)/2))),"待填")</x:f>
        <x:v>0</x:v>
      </x:c>
      <x:c r="T56" s="85" t="n">
        <x:f>IFERROR(0+(IF((0+T20)=0,0,T47/((0+T20)/2))),"待填")</x:f>
        <x:v>0</x:v>
      </x:c>
      <x:c r="U56" s="85" t="n">
        <x:f>IFERROR(0+(U85),"待填")</x:f>
        <x:v>0</x:v>
      </x:c>
      <x:c r="V56" s="85" t="n">
        <x:f>IFERROR(0+(V85),"待填")</x:f>
        <x:v>0</x:v>
      </x:c>
      <x:c r="W56" s="85" t="n">
        <x:f>IFERROR(0+(W85),"待填")</x:f>
        <x:v>0</x:v>
      </x:c>
    </x:row>
    <x:row r="57" ht="15.5" customHeight="1">
      <x:c r="A57" s="2"/>
      <x:c r="B57" s="2" t="str">
        <x:v>机器设备</x:v>
      </x:c>
      <x:c r="C57" s="46" t="str"/>
      <x:c r="D57" s="85"/>
      <x:c r="E57" s="85" t="n">
        <x:f>IFERROR(0+(IF((0+E21)=0,0,E48/((0+E21)/2))),"待填")</x:f>
        <x:v>0</x:v>
      </x:c>
      <x:c r="F57" s="85" t="n">
        <x:f>IFERROR(0+(IF((0+F21)=0,0,F48/((0+F21)/2))),"待填")</x:f>
        <x:v>0</x:v>
      </x:c>
      <x:c r="G57" s="85" t="n">
        <x:f>IFERROR(0+(IF((0+G21)=0,0,G48/((0+G21)/2))),"待填")</x:f>
        <x:v>0</x:v>
      </x:c>
      <x:c r="H57" s="85" t="n">
        <x:f>IFERROR(0+(IF((0+H21)=0,0,H48/((0+H21)/2))),"待填")</x:f>
        <x:v>0</x:v>
      </x:c>
      <x:c r="I57" s="85" t="n">
        <x:f>IFERROR(0+(IF((0+I21)=0,0,I48/((0+I21)/2))),"待填")</x:f>
        <x:v>0</x:v>
      </x:c>
      <x:c r="J57" s="85" t="n">
        <x:f>IFERROR(0+(IF((0+J21)=0,0,J48/((0+J21)/2))),"待填")</x:f>
        <x:v>0</x:v>
      </x:c>
      <x:c r="K57" s="85" t="n">
        <x:f>IFERROR(0+(IF((0+K21)=0,0,K48/((0+K21)/2))),"待填")</x:f>
        <x:v>0</x:v>
      </x:c>
      <x:c r="L57" s="85" t="n">
        <x:f>IFERROR(0+(IF((0+L21)=0,0,L48/((0+L21)/2))),"待填")</x:f>
        <x:v>0</x:v>
      </x:c>
      <x:c r="M57" s="85" t="n">
        <x:f>IFERROR(0+(IF((0+M21)=0,0,M48/((0+M21)/2))),"待填")</x:f>
        <x:v>0</x:v>
      </x:c>
      <x:c r="N57" s="85" t="n">
        <x:f>IFERROR(0+(IF((0+N21)=0,0,N48/((0+N21)/2))),"待填")</x:f>
        <x:v>0</x:v>
      </x:c>
      <x:c r="O57" s="85" t="n">
        <x:f>IFERROR(0+(IF((0+O21)=0,0,O48/((0+O21)/2))),"待填")</x:f>
        <x:v>0</x:v>
      </x:c>
      <x:c r="P57" s="85" t="n">
        <x:f>IFERROR(0+(IF((0+P21)=0,0,P48/((0+P21)/2))),"待填")</x:f>
        <x:v>0</x:v>
      </x:c>
      <x:c r="Q57" s="85" t="n">
        <x:f>IFERROR(0+(IF((0+Q21)=0,0,Q48/((0+Q21)/2))),"待填")</x:f>
        <x:v>0</x:v>
      </x:c>
      <x:c r="R57" s="85" t="n">
        <x:f>IFERROR(0+(IF((0+R21)=0,0,R48/((0+R21)/2))),"待填")</x:f>
        <x:v>0</x:v>
      </x:c>
      <x:c r="S57" s="85" t="n">
        <x:f>IFERROR(0+(IF((0+S21)=0,0,S48/((0+S21)/2))),"待填")</x:f>
        <x:v>0</x:v>
      </x:c>
      <x:c r="T57" s="85" t="n">
        <x:f>IFERROR(0+(IF((0+T21)=0,0,T48/((0+T21)/2))),"待填")</x:f>
        <x:v>0</x:v>
      </x:c>
      <x:c r="U57" s="85" t="n">
        <x:f>IFERROR(0+(U86),"待填")</x:f>
        <x:v>0</x:v>
      </x:c>
      <x:c r="V57" s="85" t="n">
        <x:f>IFERROR(0+(V86),"待填")</x:f>
        <x:v>0</x:v>
      </x:c>
      <x:c r="W57" s="85" t="n">
        <x:f>IFERROR(0+(W86),"待填")</x:f>
        <x:v>0</x:v>
      </x:c>
    </x:row>
    <x:row r="58" ht="15.5" customHeight="1">
      <x:c r="A58" s="2"/>
      <x:c r="B58" s="2" t="str">
        <x:v>运输工具</x:v>
      </x:c>
      <x:c r="C58" s="46" t="str"/>
      <x:c r="D58" s="85"/>
      <x:c r="E58" s="85" t="n">
        <x:f>IFERROR(0+(IF((0+E22)=0,0,E49/((0+E22)/2))),"待填")</x:f>
        <x:v>0</x:v>
      </x:c>
      <x:c r="F58" s="85" t="n">
        <x:f>IFERROR(0+(IF((0+F22)=0,0,F49/((0+F22)/2))),"待填")</x:f>
        <x:v>0</x:v>
      </x:c>
      <x:c r="G58" s="85" t="n">
        <x:f>IFERROR(0+(IF((0+G22)=0,0,G49/((0+G22)/2))),"待填")</x:f>
        <x:v>0</x:v>
      </x:c>
      <x:c r="H58" s="85" t="n">
        <x:f>IFERROR(0+(IF((0+H22)=0,0,H49/((0+H22)/2))),"待填")</x:f>
        <x:v>0</x:v>
      </x:c>
      <x:c r="I58" s="85" t="n">
        <x:f>IFERROR(0+(IF((0+I22)=0,0,I49/((0+I22)/2))),"待填")</x:f>
        <x:v>0</x:v>
      </x:c>
      <x:c r="J58" s="85" t="n">
        <x:f>IFERROR(0+(IF((0+J22)=0,0,J49/((0+J22)/2))),"待填")</x:f>
        <x:v>0</x:v>
      </x:c>
      <x:c r="K58" s="85" t="n">
        <x:f>IFERROR(0+(IF((0+K22)=0,0,K49/((0+K22)/2))),"待填")</x:f>
        <x:v>0</x:v>
      </x:c>
      <x:c r="L58" s="85" t="n">
        <x:f>IFERROR(0+(IF((0+L22)=0,0,L49/((0+L22)/2))),"待填")</x:f>
        <x:v>0</x:v>
      </x:c>
      <x:c r="M58" s="85" t="n">
        <x:f>IFERROR(0+(IF((0+M22)=0,0,M49/((0+M22)/2))),"待填")</x:f>
        <x:v>0</x:v>
      </x:c>
      <x:c r="N58" s="85" t="n">
        <x:f>IFERROR(0+(IF((0+N22)=0,0,N49/((0+N22)/2))),"待填")</x:f>
        <x:v>0</x:v>
      </x:c>
      <x:c r="O58" s="85" t="n">
        <x:f>IFERROR(0+(IF((0+O22)=0,0,O49/((0+O22)/2))),"待填")</x:f>
        <x:v>0</x:v>
      </x:c>
      <x:c r="P58" s="85" t="n">
        <x:f>IFERROR(0+(IF((0+P22)=0,0,P49/((0+P22)/2))),"待填")</x:f>
        <x:v>0</x:v>
      </x:c>
      <x:c r="Q58" s="85" t="n">
        <x:f>IFERROR(0+(IF((0+Q22)=0,0,Q49/((0+Q22)/2))),"待填")</x:f>
        <x:v>0</x:v>
      </x:c>
      <x:c r="R58" s="85" t="n">
        <x:f>IFERROR(0+(IF((0+R22)=0,0,R49/((0+R22)/2))),"待填")</x:f>
        <x:v>0</x:v>
      </x:c>
      <x:c r="S58" s="85" t="n">
        <x:f>IFERROR(0+(IF((0+S22)=0,0,S49/((0+S22)/2))),"待填")</x:f>
        <x:v>0</x:v>
      </x:c>
      <x:c r="T58" s="85" t="n">
        <x:f>IFERROR(0+(IF((0+T22)=0,0,T49/((0+T22)/2))),"待填")</x:f>
        <x:v>0</x:v>
      </x:c>
      <x:c r="U58" s="85" t="n">
        <x:f>IFERROR(0+(U87),"待填")</x:f>
        <x:v>0</x:v>
      </x:c>
      <x:c r="V58" s="85" t="n">
        <x:f>IFERROR(0+(V87),"待填")</x:f>
        <x:v>0</x:v>
      </x:c>
      <x:c r="W58" s="85" t="n">
        <x:f>IFERROR(0+(W87),"待填")</x:f>
        <x:v>0</x:v>
      </x:c>
    </x:row>
    <x:row r="59" ht="15.5" customHeight="1">
      <x:c r="A59" s="2"/>
      <x:c r="B59" s="2" t="str">
        <x:v>融资租入固定资产</x:v>
      </x:c>
      <x:c r="C59" s="46" t="str"/>
      <x:c r="D59" s="85"/>
      <x:c r="E59" s="85" t="n">
        <x:f>IFERROR(0+(IF((0+E23)=0,0,E50/((0+E23)/2))),"待填")</x:f>
        <x:v>0</x:v>
      </x:c>
      <x:c r="F59" s="85" t="n">
        <x:f>IFERROR(0+(IF((0+F23)=0,0,F50/((0+F23)/2))),"待填")</x:f>
        <x:v>0</x:v>
      </x:c>
      <x:c r="G59" s="85" t="n">
        <x:f>IFERROR(0+(IF((0+G23)=0,0,G50/((0+G23)/2))),"待填")</x:f>
        <x:v>0</x:v>
      </x:c>
      <x:c r="H59" s="85" t="n">
        <x:f>IFERROR(0+(IF((0+H23)=0,0,H50/((0+H23)/2))),"待填")</x:f>
        <x:v>0</x:v>
      </x:c>
      <x:c r="I59" s="85" t="n">
        <x:f>IFERROR(0+(IF((0+I23)=0,0,I50/((0+I23)/2))),"待填")</x:f>
        <x:v>0</x:v>
      </x:c>
      <x:c r="J59" s="85" t="n">
        <x:f>IFERROR(0+(IF((0+J23)=0,0,J50/((0+J23)/2))),"待填")</x:f>
        <x:v>0</x:v>
      </x:c>
      <x:c r="K59" s="85" t="n">
        <x:f>IFERROR(0+(IF((0+K23)=0,0,K50/((0+K23)/2))),"待填")</x:f>
        <x:v>0</x:v>
      </x:c>
      <x:c r="L59" s="85" t="n">
        <x:f>IFERROR(0+(IF((0+L23)=0,0,L50/((0+L23)/2))),"待填")</x:f>
        <x:v>0</x:v>
      </x:c>
      <x:c r="M59" s="85" t="n">
        <x:f>IFERROR(0+(IF((0+M23)=0,0,M50/((0+M23)/2))),"待填")</x:f>
        <x:v>0</x:v>
      </x:c>
      <x:c r="N59" s="85" t="n">
        <x:f>IFERROR(0+(IF((0+N23)=0,0,N50/((0+N23)/2))),"待填")</x:f>
        <x:v>0</x:v>
      </x:c>
      <x:c r="O59" s="85" t="n">
        <x:f>IFERROR(0+(IF((0+O23)=0,0,O50/((0+O23)/2))),"待填")</x:f>
        <x:v>0</x:v>
      </x:c>
      <x:c r="P59" s="85" t="n">
        <x:f>IFERROR(0+(IF((0+P23)=0,0,P50/((0+P23)/2))),"待填")</x:f>
        <x:v>0</x:v>
      </x:c>
      <x:c r="Q59" s="85" t="n">
        <x:f>IFERROR(0+(IF((0+Q23)=0,0,Q50/((0+Q23)/2))),"待填")</x:f>
        <x:v>0</x:v>
      </x:c>
      <x:c r="R59" s="85" t="n">
        <x:f>IFERROR(0+(IF((0+R23)=0,0,R50/((0+R23)/2))),"待填")</x:f>
        <x:v>0</x:v>
      </x:c>
      <x:c r="S59" s="85" t="n">
        <x:f>IFERROR(0+(IF((0+S23)=0,0,S50/((0+S23)/2))),"待填")</x:f>
        <x:v>0</x:v>
      </x:c>
      <x:c r="T59" s="85" t="n">
        <x:f>IFERROR(0+(IF((0+T23)=0,0,T50/((0+T23)/2))),"待填")</x:f>
        <x:v>0</x:v>
      </x:c>
      <x:c r="U59" s="85" t="n">
        <x:f>IFERROR(0+(U88),"待填")</x:f>
        <x:v>0</x:v>
      </x:c>
      <x:c r="V59" s="85" t="n">
        <x:f>IFERROR(0+(V88),"待填")</x:f>
        <x:v>0</x:v>
      </x:c>
      <x:c r="W59" s="85" t="n">
        <x:f>IFERROR(0+(W88),"待填")</x:f>
        <x:v>0</x:v>
      </x:c>
    </x:row>
    <x:row r="60" ht="15.5" customHeight="1">
      <x:c r="A60" s="2"/>
      <x:c r="B60" s="2" t="str">
        <x:v>电子设备</x:v>
      </x:c>
      <x:c r="C60" s="46" t="str"/>
      <x:c r="D60" s="85"/>
      <x:c r="E60" s="85" t="n">
        <x:f>IFERROR(0+(IF((0+E24)=0,0,E51/((0+E24)/2))),"待填")</x:f>
        <x:v>0</x:v>
      </x:c>
      <x:c r="F60" s="85" t="n">
        <x:f>IFERROR(0+(IF((0+F24)=0,0,F51/((0+F24)/2))),"待填")</x:f>
        <x:v>0</x:v>
      </x:c>
      <x:c r="G60" s="85" t="n">
        <x:f>IFERROR(0+(IF((0+G24)=0,0,G51/((0+G24)/2))),"待填")</x:f>
        <x:v>0</x:v>
      </x:c>
      <x:c r="H60" s="85" t="n">
        <x:f>IFERROR(0+(IF((0+H24)=0,0,H51/((0+H24)/2))),"待填")</x:f>
        <x:v>0</x:v>
      </x:c>
      <x:c r="I60" s="85" t="n">
        <x:f>IFERROR(0+(IF((0.0+I24)=0,0,I51/((0.0+I24)/2))),"待填")</x:f>
        <x:v>0</x:v>
      </x:c>
      <x:c r="J60" s="85" t="n">
        <x:f>IFERROR(0+(IF((0+J24)=0,0,J51/((0+J24)/2))),"待填")</x:f>
        <x:v>0</x:v>
      </x:c>
      <x:c r="K60" s="85" t="n">
        <x:f>IFERROR(0+(IF((0+K24)=0,0,K51/((0+K24)/2))),"待填")</x:f>
        <x:v>0</x:v>
      </x:c>
      <x:c r="L60" s="85" t="n">
        <x:f>IFERROR(0+(IF((0+L24)=0,0,L51/((0+L24)/2))),"待填")</x:f>
        <x:v>0</x:v>
      </x:c>
      <x:c r="M60" s="85" t="n">
        <x:f>IFERROR(0+(IF((0+M24)=0,0,M51/((0+M24)/2))),"待填")</x:f>
        <x:v>0</x:v>
      </x:c>
      <x:c r="N60" s="85" t="n">
        <x:f>IFERROR(0+(IF((0+N24)=0,0,N51/((0+N24)/2))),"待填")</x:f>
        <x:v>0</x:v>
      </x:c>
      <x:c r="O60" s="85" t="n">
        <x:f>IFERROR(0+(IF((0+O24)=0,0,O51/((0+O24)/2))),"待填")</x:f>
        <x:v>0</x:v>
      </x:c>
      <x:c r="P60" s="85" t="n">
        <x:f>IFERROR(0+(IF((0+P24)=0,0,P51/((0+P24)/2))),"待填")</x:f>
        <x:v>0</x:v>
      </x:c>
      <x:c r="Q60" s="85" t="n">
        <x:f>IFERROR(0+(IF((0+Q24)=0,0,Q51/((0+Q24)/2))),"待填")</x:f>
        <x:v>0</x:v>
      </x:c>
      <x:c r="R60" s="85" t="n">
        <x:f>IFERROR(0+(IF((0+R24)=0,0,R51/((0+R24)/2))),"待填")</x:f>
        <x:v>0</x:v>
      </x:c>
      <x:c r="S60" s="85" t="n">
        <x:f>IFERROR(0+(IF((0+S24)=0,0,S51/((0+S24)/2))),"待填")</x:f>
        <x:v>0</x:v>
      </x:c>
      <x:c r="T60" s="85" t="n">
        <x:f>IFERROR(0+(IF((0+T24)=0,0,T51/((0+T24)/2))),"待填")</x:f>
        <x:v>0</x:v>
      </x:c>
      <x:c r="U60" s="85" t="n">
        <x:f>IFERROR(0+(U89),"待填")</x:f>
        <x:v>0</x:v>
      </x:c>
      <x:c r="V60" s="85" t="n">
        <x:f>IFERROR(0+(V89),"待填")</x:f>
        <x:v>0</x:v>
      </x:c>
      <x:c r="W60" s="85" t="n">
        <x:f>IFERROR(0+(W89),"待填")</x:f>
        <x:v>0</x:v>
      </x:c>
    </x:row>
    <x:row r="61" ht="15.5" customHeight="1">
      <x:c r="A61" s="2"/>
      <x:c r="B61" s="2" t="str">
        <x:v>累计折摊 / 期末原价</x:v>
      </x:c>
      <x:c r="C61" s="46" t="str"/>
      <x:c r="D61" s="85" t="n">
        <x:f>IFERROR(0+(IF(D25=0,0,D34/D25)),"待填")</x:f>
        <x:v>0</x:v>
      </x:c>
      <x:c r="E61" s="85" t="n">
        <x:f>IFERROR(0+(IF(E25=0,0,E34/E25)),"待填")</x:f>
        <x:v>0</x:v>
      </x:c>
      <x:c r="F61" s="85" t="n">
        <x:f>IFERROR(0+(IF(F25=0,0,F34/F25)),"待填")</x:f>
        <x:v>0</x:v>
      </x:c>
      <x:c r="G61" s="85" t="n">
        <x:f>IFERROR(0+(IF(G25=0,0,G34/G25)),"待填")</x:f>
        <x:v>0</x:v>
      </x:c>
      <x:c r="H61" s="85" t="n">
        <x:f>IFERROR(0+(IF(H25=0,0,H34/H25)),"待填")</x:f>
        <x:v>0</x:v>
      </x:c>
      <x:c r="I61" s="85" t="n">
        <x:f>IFERROR(0+(IF(I25=0,0,I34/I25)),"待填")</x:f>
        <x:v>0</x:v>
      </x:c>
      <x:c r="J61" s="85" t="n">
        <x:f>IFERROR(0+(IF(J25=0,0,J34/J25)),"待填")</x:f>
        <x:v>0</x:v>
      </x:c>
      <x:c r="K61" s="85" t="n">
        <x:f>IFERROR(0+(IF(K25=0,0,K34/K25)),"待填")</x:f>
        <x:v>0</x:v>
      </x:c>
      <x:c r="L61" s="85" t="n">
        <x:f>IFERROR(0+(IF(L25=0,0,L34/L25)),"待填")</x:f>
        <x:v>0</x:v>
      </x:c>
      <x:c r="M61" s="85" t="n">
        <x:f>IFERROR(0+(IF(M25=0,0,M34/M25)),"待填")</x:f>
        <x:v>0</x:v>
      </x:c>
      <x:c r="N61" s="85" t="n">
        <x:f>IFERROR(0+(IF(N25=0,0,N34/N25)),"待填")</x:f>
        <x:v>0</x:v>
      </x:c>
      <x:c r="O61" s="85" t="n">
        <x:f>IFERROR(0+(IF(O25=0,0,O34/O25)),"待填")</x:f>
        <x:v>0</x:v>
      </x:c>
      <x:c r="P61" s="85" t="n">
        <x:f>IFERROR(0+(IF(P25=0,0,P34/P25)),"待填")</x:f>
        <x:v>0</x:v>
      </x:c>
      <x:c r="Q61" s="85" t="n">
        <x:f>IFERROR(0+(IF(Q25=0,0,Q34/Q25)),"待填")</x:f>
        <x:v>0</x:v>
      </x:c>
      <x:c r="R61" s="85" t="n">
        <x:f>IFERROR(0+(IF(R25=0,0,R34/R25)),"待填")</x:f>
        <x:v>0</x:v>
      </x:c>
      <x:c r="S61" s="85" t="n">
        <x:f>IFERROR(0+(IF(S25=0,0,S34/S25)),"待填")</x:f>
        <x:v>0</x:v>
      </x:c>
      <x:c r="T61" s="85" t="n">
        <x:f>IFERROR(0+(IF(T25=0,0,T34/T25)),"待填")</x:f>
        <x:v>0</x:v>
      </x:c>
      <x:c r="U61" s="85" t="n">
        <x:f>IFERROR(0+(IF(U25=0,0,U34/U25)),"待填")</x:f>
        <x:v>0</x:v>
      </x:c>
      <x:c r="V61" s="85" t="n">
        <x:f>IFERROR(0+(IF(V25=0,0,V34/V25)),"待填")</x:f>
        <x:v>0</x:v>
      </x:c>
      <x:c r="W61" s="85" t="n">
        <x:f>IFERROR(0+(IF(W25=0,0,W34/W25)),"待填")</x:f>
        <x:v>0</x:v>
      </x:c>
    </x:row>
    <x:row r="62" ht="15.5" customHeight="1">
      <x:c r="A62" s="2"/>
      <x:c r="B62" s="2" t="str"/>
      <x:c r="C62" s="6" t="str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</x:row>
    <x:row r="63" ht="21" customHeight="1">
      <x:c r="A63" s="2"/>
      <x:c r="B63" s="25" t="str">
        <x:v>八、预测假设与购置、处置</x:v>
      </x:c>
      <x:c r="C63" s="26" t="str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</x:row>
    <x:row r="64" ht="21" customHeight="1">
      <x:c r="A64" s="2"/>
      <x:c r="B64" s="25" t="str">
        <x:v>8.1 购置增长率</x:v>
      </x:c>
      <x:c r="C64" s="26" t="str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</x:row>
    <x:row r="65" ht="15.5" customHeight="1">
      <x:c r="A65" s="2"/>
      <x:c r="B65" s="77" t="str">
        <x:v>  房屋及建筑物</x:v>
      </x:c>
      <x:c r="C65" s="86" t="str">
        <x:v>默认 0%，购置维持 2025 年</x:v>
      </x:c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</x:row>
    <x:row r="66" ht="15.5" customHeight="1">
      <x:c r="A66" s="2"/>
      <x:c r="B66" s="77" t="str">
        <x:v>  通用设备</x:v>
      </x:c>
      <x:c r="C66" s="86" t="str">
        <x:v>默认 0%，购置维持 2025 年</x:v>
      </x:c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</x:row>
    <x:row r="67" ht="15.5" customHeight="1">
      <x:c r="A67" s="2"/>
      <x:c r="B67" s="77" t="str">
        <x:v>  专用设备</x:v>
      </x:c>
      <x:c r="C67" s="86" t="str">
        <x:v>默认 0%，购置维持 2025 年</x:v>
      </x:c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</x:row>
    <x:row r="68" ht="15.5" customHeight="1">
      <x:c r="A68" s="2"/>
      <x:c r="B68" s="77" t="str">
        <x:v>  机器设备</x:v>
      </x:c>
      <x:c r="C68" s="86" t="str">
        <x:v>默认 0%，购置维持 2025 年</x:v>
      </x:c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</x:row>
    <x:row r="69" ht="15.5" customHeight="1">
      <x:c r="A69" s="2"/>
      <x:c r="B69" s="77" t="str">
        <x:v>  运输工具</x:v>
      </x:c>
      <x:c r="C69" s="86" t="str">
        <x:v>默认 0%，购置维持 2025 年</x:v>
      </x:c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</x:row>
    <x:row r="70" ht="15.5" customHeight="1">
      <x:c r="A70" s="2"/>
      <x:c r="B70" s="77" t="str">
        <x:v>  融资租入固定资产</x:v>
      </x:c>
      <x:c r="C70" s="86" t="str">
        <x:v>默认 0%，购置维持 2025 年</x:v>
      </x:c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</x:row>
    <x:row r="71" ht="15.5" customHeight="1">
      <x:c r="A71" s="2"/>
      <x:c r="B71" s="77" t="str">
        <x:v>  电子设备</x:v>
      </x:c>
      <x:c r="C71" s="86" t="str">
        <x:v>默认 0%，购置维持 2025 年</x:v>
      </x:c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</x:row>
    <x:row r="72" ht="15.5" customHeight="1">
      <x:c r="A72" s="2"/>
      <x:c r="B72" s="2" t="str"/>
      <x:c r="C72" s="6" t="str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 ht="21" customHeight="1">
      <x:c r="A73" s="2"/>
      <x:c r="B73" s="25" t="str">
        <x:v>8.2 处置率（处置原价 / 期初原价）</x:v>
      </x:c>
      <x:c r="C73" s="26" t="str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</x:row>
    <x:row r="74" ht="15.5" customHeight="1">
      <x:c r="A74" s="2"/>
      <x:c r="B74" s="77" t="str">
        <x:v>  房屋及建筑物</x:v>
      </x:c>
      <x:c r="C74" s="86" t="str">
        <x:v>近三年处置 / 期初原价平均</x:v>
      </x:c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</x:row>
    <x:row r="75" ht="15.5" customHeight="1">
      <x:c r="A75" s="2"/>
      <x:c r="B75" s="77" t="str">
        <x:v>  通用设备</x:v>
      </x:c>
      <x:c r="C75" s="86" t="str">
        <x:v>近三年处置 / 期初原价平均</x:v>
      </x:c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</x:row>
    <x:row r="76" ht="15.5" customHeight="1">
      <x:c r="A76" s="2"/>
      <x:c r="B76" s="77" t="str">
        <x:v>  专用设备</x:v>
      </x:c>
      <x:c r="C76" s="86" t="str">
        <x:v>近三年处置 / 期初原价平均</x:v>
      </x:c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</x:row>
    <x:row r="77" ht="15.5" customHeight="1">
      <x:c r="A77" s="2"/>
      <x:c r="B77" s="77" t="str">
        <x:v>  机器设备</x:v>
      </x:c>
      <x:c r="C77" s="86" t="str">
        <x:v>近三年处置 / 期初原价平均</x:v>
      </x:c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</x:row>
    <x:row r="78" ht="15.5" customHeight="1">
      <x:c r="A78" s="2"/>
      <x:c r="B78" s="77" t="str">
        <x:v>  运输工具</x:v>
      </x:c>
      <x:c r="C78" s="86" t="str">
        <x:v>近三年处置 / 期初原价平均</x:v>
      </x:c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</x:row>
    <x:row r="79" ht="15.5" customHeight="1">
      <x:c r="A79" s="2"/>
      <x:c r="B79" s="77" t="str">
        <x:v>  融资租入固定资产</x:v>
      </x:c>
      <x:c r="C79" s="86" t="str">
        <x:v>近三年处置 / 期初原价平均</x:v>
      </x:c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</x:row>
    <x:row r="80" ht="15.5" customHeight="1">
      <x:c r="A80" s="2"/>
      <x:c r="B80" s="77" t="str">
        <x:v>  电子设备</x:v>
      </x:c>
      <x:c r="C80" s="86" t="str">
        <x:v>近三年处置 / 期初原价平均</x:v>
      </x:c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</x:row>
    <x:row r="81" ht="15.5" customHeight="1">
      <x:c r="A81" s="2"/>
      <x:c r="B81" s="2" t="str"/>
      <x:c r="C81" s="6" t="str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</x:row>
    <x:row r="82" ht="21" customHeight="1">
      <x:c r="A82" s="2"/>
      <x:c r="B82" s="25" t="str">
        <x:v>8.3 折旧率</x:v>
      </x:c>
      <x:c r="C82" s="26" t="str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</x:row>
    <x:row r="83" ht="15.5" customHeight="1">
      <x:c r="A83" s="2"/>
      <x:c r="B83" s="77" t="str">
        <x:v>  房屋及建筑物</x:v>
      </x:c>
      <x:c r="C83" s="86" t="str">
        <x:v>近两年计提 / 平均原价；可调整</x:v>
      </x:c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</x:row>
    <x:row r="84" ht="15.5" customHeight="1">
      <x:c r="A84" s="2"/>
      <x:c r="B84" s="77" t="str">
        <x:v>  通用设备</x:v>
      </x:c>
      <x:c r="C84" s="86" t="str">
        <x:v>近两年计提 / 平均原价；可调整</x:v>
      </x:c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</x:row>
    <x:row r="85" ht="15.5" customHeight="1">
      <x:c r="A85" s="2"/>
      <x:c r="B85" s="77" t="str">
        <x:v>  专用设备</x:v>
      </x:c>
      <x:c r="C85" s="86" t="str">
        <x:v>近两年计提 / 平均原价；可调整</x:v>
      </x:c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</x:row>
    <x:row r="86" ht="15.5" customHeight="1">
      <x:c r="A86" s="2"/>
      <x:c r="B86" s="77" t="str">
        <x:v>  机器设备</x:v>
      </x:c>
      <x:c r="C86" s="86" t="str">
        <x:v>近两年计提 / 平均原价；可调整</x:v>
      </x:c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</x:row>
    <x:row r="87" ht="15.5" customHeight="1">
      <x:c r="A87" s="2"/>
      <x:c r="B87" s="77" t="str">
        <x:v>  运输工具</x:v>
      </x:c>
      <x:c r="C87" s="86" t="str">
        <x:v>近两年计提 / 平均原价；可调整</x:v>
      </x:c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</x:row>
    <x:row r="88" ht="15.5" customHeight="1">
      <x:c r="A88" s="2"/>
      <x:c r="B88" s="77" t="str">
        <x:v>  融资租入固定资产</x:v>
      </x:c>
      <x:c r="C88" s="86" t="str">
        <x:v>近两年计提 / 平均原价；可调整</x:v>
      </x:c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</x:row>
    <x:row r="89" ht="15.5" customHeight="1">
      <x:c r="A89" s="2"/>
      <x:c r="B89" s="77" t="str">
        <x:v>  电子设备</x:v>
      </x:c>
      <x:c r="C89" s="86" t="str">
        <x:v>近两年计提 / 平均原价；可调整</x:v>
      </x:c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</x:row>
    <x:row r="90" ht="15.5" customHeight="1">
      <x:c r="A90" s="2"/>
      <x:c r="B90" s="2" t="str"/>
      <x:c r="C90" s="6" t="str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</x:row>
    <x:row r="91" ht="21" customHeight="1">
      <x:c r="A91" s="2"/>
      <x:c r="B91" s="25" t="str">
        <x:v>8.4 在建工程转入（联动在建工程表）</x:v>
      </x:c>
      <x:c r="C91" s="26" t="str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</x:row>
    <x:row r="92" ht="15.5" customHeight="1">
      <x:c r="A92" s="2"/>
      <x:c r="B92" s="2" t="str">
        <x:v>  房屋及建筑物</x:v>
      </x:c>
      <x:c r="C92" s="6" t="str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 t="n">
        <x:f>IFERROR(0+('在建工程'!U165),"待填")</x:f>
        <x:v>0</x:v>
      </x:c>
      <x:c r="V92" s="4" t="n">
        <x:f>IFERROR(0+('在建工程'!V165),"待填")</x:f>
        <x:v>0</x:v>
      </x:c>
      <x:c r="W92" s="4" t="n">
        <x:f>IFERROR(0+('在建工程'!W165),"待填")</x:f>
        <x:v>0</x:v>
      </x:c>
    </x:row>
    <x:row r="93" ht="15.5" customHeight="1">
      <x:c r="A93" s="2"/>
      <x:c r="B93" s="2" t="str">
        <x:v>  通用设备</x:v>
      </x:c>
      <x:c r="C93" s="6" t="str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 t="n">
        <x:f>IFERROR(0+('在建工程'!U166),"待填")</x:f>
        <x:v>0</x:v>
      </x:c>
      <x:c r="V93" s="4" t="n">
        <x:f>IFERROR(0+('在建工程'!V166),"待填")</x:f>
        <x:v>0</x:v>
      </x:c>
      <x:c r="W93" s="4" t="n">
        <x:f>IFERROR(0+('在建工程'!W166),"待填")</x:f>
        <x:v>0</x:v>
      </x:c>
    </x:row>
    <x:row r="94" ht="15.5" customHeight="1">
      <x:c r="A94" s="2"/>
      <x:c r="B94" s="2" t="str">
        <x:v>  专用设备</x:v>
      </x:c>
      <x:c r="C94" s="6" t="str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 t="n">
        <x:f>IFERROR(0+('在建工程'!U167),"待填")</x:f>
        <x:v>0</x:v>
      </x:c>
      <x:c r="V94" s="4" t="n">
        <x:f>IFERROR(0+('在建工程'!V167),"待填")</x:f>
        <x:v>0</x:v>
      </x:c>
      <x:c r="W94" s="4" t="n">
        <x:f>IFERROR(0+('在建工程'!W167),"待填")</x:f>
        <x:v>0</x:v>
      </x:c>
    </x:row>
    <x:row r="95" ht="15.5" customHeight="1">
      <x:c r="A95" s="2"/>
      <x:c r="B95" s="2" t="str">
        <x:v>  机器设备</x:v>
      </x:c>
      <x:c r="C95" s="6" t="str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 t="n">
        <x:f>IFERROR(0+('在建工程'!U168),"待填")</x:f>
        <x:v>0</x:v>
      </x:c>
      <x:c r="V95" s="4" t="n">
        <x:f>IFERROR(0+('在建工程'!V168),"待填")</x:f>
        <x:v>0</x:v>
      </x:c>
      <x:c r="W95" s="4" t="n">
        <x:f>IFERROR(0+('在建工程'!W168),"待填")</x:f>
        <x:v>0</x:v>
      </x:c>
    </x:row>
    <x:row r="96" ht="15.5" customHeight="1">
      <x:c r="A96" s="2"/>
      <x:c r="B96" s="2" t="str">
        <x:v>  运输工具</x:v>
      </x:c>
      <x:c r="C96" s="6" t="str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 t="n">
        <x:f>IFERROR(0+('在建工程'!U169),"待填")</x:f>
        <x:v>0</x:v>
      </x:c>
      <x:c r="V96" s="4" t="n">
        <x:f>IFERROR(0+('在建工程'!V169),"待填")</x:f>
        <x:v>0</x:v>
      </x:c>
      <x:c r="W96" s="4" t="n">
        <x:f>IFERROR(0+('在建工程'!W169),"待填")</x:f>
        <x:v>0</x:v>
      </x:c>
    </x:row>
    <x:row r="97" ht="15.5" customHeight="1">
      <x:c r="A97" s="2"/>
      <x:c r="B97" s="2" t="str">
        <x:v>  融资租入固定资产</x:v>
      </x:c>
      <x:c r="C97" s="6" t="str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 t="n">
        <x:f>IFERROR(0+('在建工程'!U170),"待填")</x:f>
        <x:v>0</x:v>
      </x:c>
      <x:c r="V97" s="4" t="n">
        <x:f>IFERROR(0+('在建工程'!V170),"待填")</x:f>
        <x:v>0</x:v>
      </x:c>
      <x:c r="W97" s="4" t="n">
        <x:f>IFERROR(0+('在建工程'!W170),"待填")</x:f>
        <x:v>0</x:v>
      </x:c>
    </x:row>
    <x:row r="98" ht="15.5" customHeight="1">
      <x:c r="A98" s="2"/>
      <x:c r="B98" s="2" t="str">
        <x:v>  电子设备</x:v>
      </x:c>
      <x:c r="C98" s="6" t="str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 t="n">
        <x:f>IFERROR(0+('在建工程'!U171),"待填")</x:f>
        <x:v>0</x:v>
      </x:c>
      <x:c r="V98" s="4" t="n">
        <x:f>IFERROR(0+('在建工程'!V171),"待填")</x:f>
        <x:v>0</x:v>
      </x:c>
      <x:c r="W98" s="4" t="n">
        <x:f>IFERROR(0+('在建工程'!W171),"待填")</x:f>
        <x:v>0</x:v>
      </x:c>
    </x:row>
    <x:row r="99" ht="15.5" customHeight="1">
      <x:c r="A99" s="2"/>
      <x:c r="B99" s="2" t="str"/>
      <x:c r="C99" s="6" t="str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</x:row>
    <x:row r="100" ht="21" customHeight="1">
      <x:c r="A100" s="2"/>
      <x:c r="B100" s="25" t="str">
        <x:v>8.5 购置（历史 + 预测）</x:v>
      </x:c>
      <x:c r="C100" s="26" t="str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</x:row>
    <x:row r="101" ht="15.5" customHeight="1">
      <x:c r="A101" s="2"/>
      <x:c r="B101" s="2" t="str">
        <x:v>  房屋及建筑物</x:v>
      </x:c>
      <x:c r="C101" s="6" t="str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 t="n">
        <x:f>IFERROR(0+(T101*(1+U65)),"待填")</x:f>
        <x:v>0</x:v>
      </x:c>
      <x:c r="V101" s="4" t="n">
        <x:f>IFERROR(0+(U101*(1+V65)),"待填")</x:f>
        <x:v>0</x:v>
      </x:c>
      <x:c r="W101" s="4" t="n">
        <x:f>IFERROR(0+(V101*(1+W65)),"待填")</x:f>
        <x:v>0</x:v>
      </x:c>
    </x:row>
    <x:row r="102" ht="15.5" customHeight="1">
      <x:c r="A102" s="2"/>
      <x:c r="B102" s="2" t="str">
        <x:v>  通用设备</x:v>
      </x:c>
      <x:c r="C102" s="6" t="str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 t="n">
        <x:f>IFERROR(0+(T102*(1+U66)),"待填")</x:f>
        <x:v>0</x:v>
      </x:c>
      <x:c r="V102" s="4" t="n">
        <x:f>IFERROR(0+(U102*(1+V66)),"待填")</x:f>
        <x:v>0</x:v>
      </x:c>
      <x:c r="W102" s="4" t="n">
        <x:f>IFERROR(0+(V102*(1+W66)),"待填")</x:f>
        <x:v>0</x:v>
      </x:c>
    </x:row>
    <x:row r="103" ht="15.5" customHeight="1">
      <x:c r="A103" s="2"/>
      <x:c r="B103" s="2" t="str">
        <x:v>  专用设备</x:v>
      </x:c>
      <x:c r="C103" s="6" t="str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 t="n">
        <x:f>IFERROR(0+(T103*(1+U67)),"待填")</x:f>
        <x:v>0</x:v>
      </x:c>
      <x:c r="V103" s="4" t="n">
        <x:f>IFERROR(0+(U103*(1+V67)),"待填")</x:f>
        <x:v>0</x:v>
      </x:c>
      <x:c r="W103" s="4" t="n">
        <x:f>IFERROR(0+(V103*(1+W67)),"待填")</x:f>
        <x:v>0</x:v>
      </x:c>
    </x:row>
    <x:row r="104" ht="15.5" customHeight="1">
      <x:c r="A104" s="2"/>
      <x:c r="B104" s="2" t="str">
        <x:v>  机器设备</x:v>
      </x:c>
      <x:c r="C104" s="6" t="str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 t="n">
        <x:f>IFERROR(0+(T104*(1+U68)),"待填")</x:f>
        <x:v>0</x:v>
      </x:c>
      <x:c r="V104" s="4" t="n">
        <x:f>IFERROR(0+(U104*(1+V68)),"待填")</x:f>
        <x:v>0</x:v>
      </x:c>
      <x:c r="W104" s="4" t="n">
        <x:f>IFERROR(0+(V104*(1+W68)),"待填")</x:f>
        <x:v>0</x:v>
      </x:c>
    </x:row>
    <x:row r="105" ht="15.5" customHeight="1">
      <x:c r="A105" s="2"/>
      <x:c r="B105" s="2" t="str">
        <x:v>  运输工具</x:v>
      </x:c>
      <x:c r="C105" s="6" t="str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 t="n">
        <x:f>IFERROR(0+(T105*(1+U69)),"待填")</x:f>
        <x:v>0</x:v>
      </x:c>
      <x:c r="V105" s="4" t="n">
        <x:f>IFERROR(0+(U105*(1+V69)),"待填")</x:f>
        <x:v>0</x:v>
      </x:c>
      <x:c r="W105" s="4" t="n">
        <x:f>IFERROR(0+(V105*(1+W69)),"待填")</x:f>
        <x:v>0</x:v>
      </x:c>
    </x:row>
    <x:row r="106" ht="15.5" customHeight="1">
      <x:c r="A106" s="2"/>
      <x:c r="B106" s="2" t="str">
        <x:v>  融资租入固定资产</x:v>
      </x:c>
      <x:c r="C106" s="6" t="str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 t="n">
        <x:f>IFERROR(0+(T106*(1+U70)),"待填")</x:f>
        <x:v>0</x:v>
      </x:c>
      <x:c r="V106" s="4" t="n">
        <x:f>IFERROR(0+(U106*(1+V70)),"待填")</x:f>
        <x:v>0</x:v>
      </x:c>
      <x:c r="W106" s="4" t="n">
        <x:f>IFERROR(0+(V106*(1+W70)),"待填")</x:f>
        <x:v>0</x:v>
      </x:c>
    </x:row>
    <x:row r="107" ht="15.5" customHeight="1">
      <x:c r="A107" s="2"/>
      <x:c r="B107" s="2" t="str">
        <x:v>  电子设备</x:v>
      </x:c>
      <x:c r="C107" s="6" t="str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 t="n">
        <x:f>IFERROR(0+(T107*(1+U71)),"待填")</x:f>
        <x:v>0</x:v>
      </x:c>
      <x:c r="V107" s="4" t="n">
        <x:f>IFERROR(0+(U107*(1+V71)),"待填")</x:f>
        <x:v>0</x:v>
      </x:c>
      <x:c r="W107" s="4" t="n">
        <x:f>IFERROR(0+(V107*(1+W71)),"待填")</x:f>
        <x:v>0</x:v>
      </x:c>
    </x:row>
    <x:row r="108" ht="15.5" customHeight="1">
      <x:c r="A108" s="2"/>
      <x:c r="B108" s="2" t="str"/>
      <x:c r="C108" s="6" t="str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</x:row>
    <x:row r="109" ht="21" customHeight="1">
      <x:c r="A109" s="2"/>
      <x:c r="B109" s="25" t="str">
        <x:v>8.6 处置原价（历史 + 预测）</x:v>
      </x:c>
      <x:c r="C109" s="26" t="str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</x:row>
    <x:row r="110" ht="15.5" customHeight="1">
      <x:c r="A110" s="2"/>
      <x:c r="B110" s="2" t="str">
        <x:v>  房屋及建筑物</x:v>
      </x:c>
      <x:c r="C110" s="6" t="str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 t="n">
        <x:f>IFERROR(0+(T18*U74),"待填")</x:f>
        <x:v>0</x:v>
      </x:c>
      <x:c r="V110" s="4" t="n">
        <x:f>IFERROR(0+(U18*V74),"待填")</x:f>
        <x:v>0</x:v>
      </x:c>
      <x:c r="W110" s="4" t="n">
        <x:f>IFERROR(0+(V18*W74),"待填")</x:f>
        <x:v>0</x:v>
      </x:c>
    </x:row>
    <x:row r="111" ht="15.5" customHeight="1">
      <x:c r="A111" s="2"/>
      <x:c r="B111" s="2" t="str">
        <x:v>  通用设备</x:v>
      </x:c>
      <x:c r="C111" s="6" t="str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 t="n">
        <x:f>IFERROR(0+(T19*U75),"待填")</x:f>
        <x:v>0</x:v>
      </x:c>
      <x:c r="V111" s="4" t="n">
        <x:f>IFERROR(0+(U19*V75),"待填")</x:f>
        <x:v>0</x:v>
      </x:c>
      <x:c r="W111" s="4" t="n">
        <x:f>IFERROR(0+(V19*W75),"待填")</x:f>
        <x:v>0</x:v>
      </x:c>
    </x:row>
    <x:row r="112" ht="15.5" customHeight="1">
      <x:c r="A112" s="2"/>
      <x:c r="B112" s="2" t="str">
        <x:v>  专用设备</x:v>
      </x:c>
      <x:c r="C112" s="6" t="str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 t="n">
        <x:f>IFERROR(0+(T20*U76),"待填")</x:f>
        <x:v>0</x:v>
      </x:c>
      <x:c r="V112" s="4" t="n">
        <x:f>IFERROR(0+(U20*V76),"待填")</x:f>
        <x:v>0</x:v>
      </x:c>
      <x:c r="W112" s="4" t="n">
        <x:f>IFERROR(0+(V20*W76),"待填")</x:f>
        <x:v>0</x:v>
      </x:c>
    </x:row>
    <x:row r="113" ht="15.5" customHeight="1">
      <x:c r="A113" s="2"/>
      <x:c r="B113" s="2" t="str">
        <x:v>  机器设备</x:v>
      </x:c>
      <x:c r="C113" s="6" t="str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 t="n">
        <x:f>IFERROR(0+(T21*U77),"待填")</x:f>
        <x:v>0</x:v>
      </x:c>
      <x:c r="V113" s="4" t="n">
        <x:f>IFERROR(0+(U21*V77),"待填")</x:f>
        <x:v>0</x:v>
      </x:c>
      <x:c r="W113" s="4" t="n">
        <x:f>IFERROR(0+(V21*W77),"待填")</x:f>
        <x:v>0</x:v>
      </x:c>
    </x:row>
    <x:row r="114" ht="15.5" customHeight="1">
      <x:c r="A114" s="2"/>
      <x:c r="B114" s="2" t="str">
        <x:v>  运输工具</x:v>
      </x:c>
      <x:c r="C114" s="6" t="str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 t="n">
        <x:f>IFERROR(0+(T22*U78),"待填")</x:f>
        <x:v>0</x:v>
      </x:c>
      <x:c r="V114" s="4" t="n">
        <x:f>IFERROR(0+(U22*V78),"待填")</x:f>
        <x:v>0</x:v>
      </x:c>
      <x:c r="W114" s="4" t="n">
        <x:f>IFERROR(0+(V22*W78),"待填")</x:f>
        <x:v>0</x:v>
      </x:c>
    </x:row>
    <x:row r="115" ht="15.5" customHeight="1">
      <x:c r="A115" s="2"/>
      <x:c r="B115" s="2" t="str">
        <x:v>  融资租入固定资产</x:v>
      </x:c>
      <x:c r="C115" s="6" t="str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 t="n">
        <x:f>IFERROR(0+(T23*U79),"待填")</x:f>
        <x:v>0</x:v>
      </x:c>
      <x:c r="V115" s="4" t="n">
        <x:f>IFERROR(0+(U23*V79),"待填")</x:f>
        <x:v>0</x:v>
      </x:c>
      <x:c r="W115" s="4" t="n">
        <x:f>IFERROR(0+(V23*W79),"待填")</x:f>
        <x:v>0</x:v>
      </x:c>
    </x:row>
    <x:row r="116" ht="15.5" customHeight="1">
      <x:c r="A116" s="2"/>
      <x:c r="B116" s="2" t="str">
        <x:v>  电子设备</x:v>
      </x:c>
      <x:c r="C116" s="6" t="str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 t="n">
        <x:f>IFERROR(0+(T24*U80),"待填")</x:f>
        <x:v>0</x:v>
      </x:c>
      <x:c r="V116" s="4" t="n">
        <x:f>IFERROR(0+(U24*V80),"待填")</x:f>
        <x:v>0</x:v>
      </x:c>
      <x:c r="W116" s="4" t="n">
        <x:f>IFERROR(0+(V24*W80),"待填")</x:f>
        <x:v>0</x:v>
      </x:c>
    </x:row>
    <x:row r="117" ht="15.5" customHeight="1">
      <x:c r="A117" s="2"/>
      <x:c r="B117" s="2" t="str"/>
      <x:c r="C117" s="6" t="str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</x:row>
    <x:row r="118" ht="21" customHeight="1">
      <x:c r="A118" s="2"/>
      <x:c r="B118" s="25" t="str">
        <x:v>附：历史原价、重分类及累计折摊滚动</x:v>
      </x:c>
      <x:c r="C118" s="26" t="str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</x:row>
    <x:row r="119" ht="21" customHeight="1">
      <x:c r="A119" s="2"/>
      <x:c r="B119" s="25" t="str">
        <x:v>历史原价与重分类</x:v>
      </x:c>
      <x:c r="C119" s="26" t="str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</x:row>
    <x:row r="120" ht="21" customHeight="1">
      <x:c r="A120" s="2"/>
      <x:c r="B120" s="25" t="str">
        <x:v>【房屋及建筑物】</x:v>
      </x:c>
      <x:c r="C120" s="26" t="str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</x:row>
    <x:row r="121" ht="15.5" customHeight="1">
      <x:c r="A121" s="2"/>
      <x:c r="B121" s="2" t="str">
        <x:v>期初原价（披露）</x:v>
      </x:c>
      <x:c r="C121" s="6" t="str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</x:row>
    <x:row r="122" ht="15.5" customHeight="1">
      <x:c r="A122" s="2"/>
      <x:c r="B122" s="2" t="str">
        <x:v>本期增加（披露）</x:v>
      </x:c>
      <x:c r="C122" s="6" t="str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</x:row>
    <x:row r="123" ht="15.5" customHeight="1">
      <x:c r="A123" s="2"/>
      <x:c r="B123" s="2" t="str">
        <x:v>本期减少（披露）</x:v>
      </x:c>
      <x:c r="C123" s="6" t="str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</x:row>
    <x:row r="124" ht="15.5" customHeight="1">
      <x:c r="A124" s="2"/>
      <x:c r="B124" s="2" t="str">
        <x:v>增加中：外币折算</x:v>
      </x:c>
      <x:c r="C124" s="6" t="str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</x:row>
    <x:row r="125" ht="15.5" customHeight="1">
      <x:c r="A125" s="2"/>
      <x:c r="B125" s="2" t="str">
        <x:v>增加中：企业合并</x:v>
      </x:c>
      <x:c r="C125" s="6" t="str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</x:row>
    <x:row r="126" ht="15.5" customHeight="1">
      <x:c r="A126" s="2"/>
      <x:c r="B126" s="2" t="str">
        <x:v>期初重分类 / 口径调整</x:v>
      </x:c>
      <x:c r="C126" s="6" t="str"/>
      <x:c r="D126" s="4"/>
      <x:c r="E126" s="4" t="n">
        <x:f>IFERROR(0+(E121-D18),"待填")</x:f>
        <x:v>0</x:v>
      </x:c>
      <x:c r="F126" s="4" t="n">
        <x:f>IFERROR(0+(F121-E18),"待填")</x:f>
        <x:v>0</x:v>
      </x:c>
      <x:c r="G126" s="4" t="n">
        <x:f>IFERROR(0+(G121-F18),"待填")</x:f>
        <x:v>0</x:v>
      </x:c>
      <x:c r="H126" s="4" t="n">
        <x:f>IFERROR(0+(H121-G18),"待填")</x:f>
        <x:v>0</x:v>
      </x:c>
      <x:c r="I126" s="4" t="n">
        <x:f>IFERROR(0+(I121-H18),"待填")</x:f>
        <x:v>0</x:v>
      </x:c>
      <x:c r="J126" s="4" t="n">
        <x:f>IFERROR(0+(J121-I18),"待填")</x:f>
        <x:v>0</x:v>
      </x:c>
      <x:c r="K126" s="4" t="n">
        <x:f>IFERROR(0+(K121-J18),"待填")</x:f>
        <x:v>0</x:v>
      </x:c>
      <x:c r="L126" s="4" t="n">
        <x:f>IFERROR(0+(L121-K18),"待填")</x:f>
        <x:v>0</x:v>
      </x:c>
      <x:c r="M126" s="4" t="n">
        <x:f>IFERROR(0+(M121-L18),"待填")</x:f>
        <x:v>0</x:v>
      </x:c>
      <x:c r="N126" s="4" t="n">
        <x:f>IFERROR(0+(N121-M18),"待填")</x:f>
        <x:v>0</x:v>
      </x:c>
      <x:c r="O126" s="4" t="n">
        <x:f>IFERROR(0+(O121-N18),"待填")</x:f>
        <x:v>0</x:v>
      </x:c>
      <x:c r="P126" s="4" t="n">
        <x:f>IFERROR(0+(P121-O18),"待填")</x:f>
        <x:v>0</x:v>
      </x:c>
      <x:c r="Q126" s="4" t="n">
        <x:f>IFERROR(0+(Q121-P18),"待填")</x:f>
        <x:v>0</x:v>
      </x:c>
      <x:c r="R126" s="4" t="n">
        <x:f>IFERROR(0+(R121-Q18),"待填")</x:f>
        <x:v>0</x:v>
      </x:c>
      <x:c r="S126" s="4" t="n">
        <x:f>IFERROR(0+(S121-R18),"待填")</x:f>
        <x:v>0</x:v>
      </x:c>
      <x:c r="T126" s="4" t="n">
        <x:f>IFERROR(0+(T121-S18),"待填")</x:f>
        <x:v>0</x:v>
      </x:c>
      <x:c r="U126" s="4"/>
      <x:c r="V126" s="4"/>
      <x:c r="W126" s="4"/>
    </x:row>
    <x:row r="127" ht="15.5" customHeight="1">
      <x:c r="A127" s="2"/>
      <x:c r="B127" s="29" t="str">
        <x:v>原价滚动校验</x:v>
      </x:c>
      <x:c r="C127" s="32" t="str"/>
      <x:c r="D127" s="33"/>
      <x:c r="E127" s="33" t="n">
        <x:f>IFERROR(0+(E121+E122-E123-E18),"待填")</x:f>
        <x:v>0</x:v>
      </x:c>
      <x:c r="F127" s="33" t="n">
        <x:f>IFERROR(0+(F121+F122-F123-F18),"待填")</x:f>
        <x:v>0</x:v>
      </x:c>
      <x:c r="G127" s="33" t="n">
        <x:f>IFERROR(0+(G121+G122-G123-G18),"待填")</x:f>
        <x:v>0</x:v>
      </x:c>
      <x:c r="H127" s="33" t="n">
        <x:f>IFERROR(0+(H121+H122-H123-H18),"待填")</x:f>
        <x:v>0</x:v>
      </x:c>
      <x:c r="I127" s="33" t="n">
        <x:f>IFERROR(0+(I121+I122-I123-I18),"待填")</x:f>
        <x:v>0</x:v>
      </x:c>
      <x:c r="J127" s="33" t="n">
        <x:f>IFERROR(0+(J121+J122-J123-J18),"待填")</x:f>
        <x:v>0</x:v>
      </x:c>
      <x:c r="K127" s="33" t="n">
        <x:f>IFERROR(0+(K121+K122-K123-K18),"待填")</x:f>
        <x:v>0</x:v>
      </x:c>
      <x:c r="L127" s="33" t="n">
        <x:f>IFERROR(0+(L121+L122-L123-L18),"待填")</x:f>
        <x:v>0</x:v>
      </x:c>
      <x:c r="M127" s="33" t="n">
        <x:f>IFERROR(0+(M121+M122-M123-M18),"待填")</x:f>
        <x:v>0</x:v>
      </x:c>
      <x:c r="N127" s="33" t="n">
        <x:f>IFERROR(0+(N121+N122-N123-N18),"待填")</x:f>
        <x:v>0</x:v>
      </x:c>
      <x:c r="O127" s="33" t="n">
        <x:f>IFERROR(0+(O121+O122-O123-O18),"待填")</x:f>
        <x:v>0</x:v>
      </x:c>
      <x:c r="P127" s="33" t="n">
        <x:f>IFERROR(0+(P121+P122-P123-P18),"待填")</x:f>
        <x:v>0</x:v>
      </x:c>
      <x:c r="Q127" s="33" t="n">
        <x:f>IFERROR(0+(Q121+Q122-Q123-Q18),"待填")</x:f>
        <x:v>0</x:v>
      </x:c>
      <x:c r="R127" s="33" t="n">
        <x:f>IFERROR(0+(R121+R122-R123-R18),"待填")</x:f>
        <x:v>0</x:v>
      </x:c>
      <x:c r="S127" s="33" t="n">
        <x:f>IFERROR(0+(S121+S122-S123-S18),"待填")</x:f>
        <x:v>0</x:v>
      </x:c>
      <x:c r="T127" s="33" t="n">
        <x:f>IFERROR(0+(T121+T122-T123-T18),"待填")</x:f>
        <x:v>0</x:v>
      </x:c>
      <x:c r="U127" s="33"/>
      <x:c r="V127" s="33"/>
      <x:c r="W127" s="33"/>
    </x:row>
    <x:row r="128" ht="15.5" customHeight="1">
      <x:c r="A128" s="2"/>
      <x:c r="B128" s="29" t="str">
        <x:v>净值计算校验</x:v>
      </x:c>
      <x:c r="C128" s="32" t="str"/>
      <x:c r="D128" s="33" t="n">
        <x:f>IFERROR(0+(D18-D27-D36-D7),"待填")</x:f>
        <x:v>0</x:v>
      </x:c>
      <x:c r="E128" s="33" t="n">
        <x:f>IFERROR(0+(E18-E27-E36-E7),"待填")</x:f>
        <x:v>0</x:v>
      </x:c>
      <x:c r="F128" s="33" t="n">
        <x:f>IFERROR(0+(F18-F27-F36-F7),"待填")</x:f>
        <x:v>0</x:v>
      </x:c>
      <x:c r="G128" s="33" t="n">
        <x:f>IFERROR(0+(G18-G27-G36-G7),"待填")</x:f>
        <x:v>0</x:v>
      </x:c>
      <x:c r="H128" s="33" t="n">
        <x:f>IFERROR(0+(H18-H27-H36-H7),"待填")</x:f>
        <x:v>0</x:v>
      </x:c>
      <x:c r="I128" s="33" t="n">
        <x:f>IFERROR(0+(I18-I27-I36-I7),"待填")</x:f>
        <x:v>0</x:v>
      </x:c>
      <x:c r="J128" s="33" t="n">
        <x:f>IFERROR(0+(J18-J27-J36-J7),"待填")</x:f>
        <x:v>0</x:v>
      </x:c>
      <x:c r="K128" s="33" t="n">
        <x:f>IFERROR(0+(K18-K27-K36-K7),"待填")</x:f>
        <x:v>0</x:v>
      </x:c>
      <x:c r="L128" s="33" t="n">
        <x:f>IFERROR(0+(L18-L27-L36-L7),"待填")</x:f>
        <x:v>0</x:v>
      </x:c>
      <x:c r="M128" s="33" t="n">
        <x:f>IFERROR(0+(M18-M27-M36-M7),"待填")</x:f>
        <x:v>0</x:v>
      </x:c>
      <x:c r="N128" s="33" t="n">
        <x:f>IFERROR(0+(N18-N27-N36-N7),"待填")</x:f>
        <x:v>0</x:v>
      </x:c>
      <x:c r="O128" s="33" t="n">
        <x:f>IFERROR(0+(O18-O27-O36-O7),"待填")</x:f>
        <x:v>0</x:v>
      </x:c>
      <x:c r="P128" s="33" t="n">
        <x:f>IFERROR(0+(P18-P27-P36-P7),"待填")</x:f>
        <x:v>0</x:v>
      </x:c>
      <x:c r="Q128" s="33" t="n">
        <x:f>IFERROR(0+(Q18-Q27-Q36-Q7),"待填")</x:f>
        <x:v>0</x:v>
      </x:c>
      <x:c r="R128" s="33" t="n">
        <x:f>IFERROR(0+(R18-R27-R36-R7),"待填")</x:f>
        <x:v>0</x:v>
      </x:c>
      <x:c r="S128" s="33" t="n">
        <x:f>IFERROR(0+(S18-S27-S36-S7),"待填")</x:f>
        <x:v>0</x:v>
      </x:c>
      <x:c r="T128" s="33" t="n">
        <x:f>IFERROR(0+(T18-T27-T36-T7),"待填")</x:f>
        <x:v>0</x:v>
      </x:c>
      <x:c r="U128" s="33" t="n">
        <x:f>IFERROR(0+(U18-U27-U36-U7),"待填")</x:f>
        <x:v>0</x:v>
      </x:c>
      <x:c r="V128" s="33" t="n">
        <x:f>IFERROR(0+(V18-V27-V36-V7),"待填")</x:f>
        <x:v>0</x:v>
      </x:c>
      <x:c r="W128" s="33" t="n">
        <x:f>IFERROR(0+(W18-W27-W36-W7),"待填")</x:f>
        <x:v>0</x:v>
      </x:c>
    </x:row>
    <x:row r="129" ht="21" customHeight="1">
      <x:c r="A129" s="2"/>
      <x:c r="B129" s="25" t="str">
        <x:v>【通用设备】</x:v>
      </x:c>
      <x:c r="C129" s="26" t="str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</x:row>
    <x:row r="130" ht="15.5" customHeight="1">
      <x:c r="A130" s="2"/>
      <x:c r="B130" s="2" t="str">
        <x:v>期初原价（披露）</x:v>
      </x:c>
      <x:c r="C130" s="6" t="str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</x:row>
    <x:row r="131" ht="15.5" customHeight="1">
      <x:c r="A131" s="2"/>
      <x:c r="B131" s="2" t="str">
        <x:v>本期增加（披露）</x:v>
      </x:c>
      <x:c r="C131" s="6" t="str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</x:row>
    <x:row r="132" ht="15.5" customHeight="1">
      <x:c r="A132" s="2"/>
      <x:c r="B132" s="2" t="str">
        <x:v>本期减少（披露）</x:v>
      </x:c>
      <x:c r="C132" s="6" t="str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</x:row>
    <x:row r="133" ht="15.5" customHeight="1">
      <x:c r="A133" s="2"/>
      <x:c r="B133" s="2" t="str">
        <x:v>增加中：外币折算</x:v>
      </x:c>
      <x:c r="C133" s="6" t="str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</x:row>
    <x:row r="134" ht="15.5" customHeight="1">
      <x:c r="A134" s="2"/>
      <x:c r="B134" s="2" t="str">
        <x:v>增加中：企业合并</x:v>
      </x:c>
      <x:c r="C134" s="6" t="str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</x:row>
    <x:row r="135" ht="15.5" customHeight="1">
      <x:c r="A135" s="2"/>
      <x:c r="B135" s="2" t="str">
        <x:v>期初重分类 / 口径调整</x:v>
      </x:c>
      <x:c r="C135" s="6" t="str"/>
      <x:c r="D135" s="4"/>
      <x:c r="E135" s="4" t="n">
        <x:f>IFERROR(0+(E130-D19),"待填")</x:f>
        <x:v>0</x:v>
      </x:c>
      <x:c r="F135" s="4" t="n">
        <x:f>IFERROR(0+(F130-E19),"待填")</x:f>
        <x:v>0</x:v>
      </x:c>
      <x:c r="G135" s="4" t="n">
        <x:f>IFERROR(0+(G130-F19),"待填")</x:f>
        <x:v>0</x:v>
      </x:c>
      <x:c r="H135" s="4" t="n">
        <x:f>IFERROR(0+(H130-G19),"待填")</x:f>
        <x:v>0</x:v>
      </x:c>
      <x:c r="I135" s="4" t="n">
        <x:f>IFERROR(0+(I130-H19),"待填")</x:f>
        <x:v>0</x:v>
      </x:c>
      <x:c r="J135" s="4" t="n">
        <x:f>IFERROR(0+(J130-I19),"待填")</x:f>
        <x:v>0</x:v>
      </x:c>
      <x:c r="K135" s="4" t="n">
        <x:f>IFERROR(0+(K130-J19),"待填")</x:f>
        <x:v>0</x:v>
      </x:c>
      <x:c r="L135" s="4" t="n">
        <x:f>IFERROR(0+(L130-K19),"待填")</x:f>
        <x:v>0</x:v>
      </x:c>
      <x:c r="M135" s="4" t="n">
        <x:f>IFERROR(0+(M130-L19),"待填")</x:f>
        <x:v>0</x:v>
      </x:c>
      <x:c r="N135" s="4" t="n">
        <x:f>IFERROR(0+(N130-M19),"待填")</x:f>
        <x:v>0</x:v>
      </x:c>
      <x:c r="O135" s="4" t="n">
        <x:f>IFERROR(0+(O130-N19),"待填")</x:f>
        <x:v>0</x:v>
      </x:c>
      <x:c r="P135" s="4" t="n">
        <x:f>IFERROR(0+(P130-O19),"待填")</x:f>
        <x:v>0</x:v>
      </x:c>
      <x:c r="Q135" s="4" t="n">
        <x:f>IFERROR(0+(Q130-P19),"待填")</x:f>
        <x:v>0</x:v>
      </x:c>
      <x:c r="R135" s="4" t="n">
        <x:f>IFERROR(0+(R130-Q19),"待填")</x:f>
        <x:v>0</x:v>
      </x:c>
      <x:c r="S135" s="4" t="n">
        <x:f>IFERROR(0+(S130-R19),"待填")</x:f>
        <x:v>0</x:v>
      </x:c>
      <x:c r="T135" s="4" t="n">
        <x:f>IFERROR(0+(T130-S19),"待填")</x:f>
        <x:v>0</x:v>
      </x:c>
      <x:c r="U135" s="4"/>
      <x:c r="V135" s="4"/>
      <x:c r="W135" s="4"/>
    </x:row>
    <x:row r="136" ht="15.5" customHeight="1">
      <x:c r="A136" s="2"/>
      <x:c r="B136" s="29" t="str">
        <x:v>原价滚动校验</x:v>
      </x:c>
      <x:c r="C136" s="32" t="str"/>
      <x:c r="D136" s="33"/>
      <x:c r="E136" s="33" t="n">
        <x:f>IFERROR(0+(E130+E131-E132-E19),"待填")</x:f>
        <x:v>0</x:v>
      </x:c>
      <x:c r="F136" s="33" t="n">
        <x:f>IFERROR(0+(F130+F131-F132-F19),"待填")</x:f>
        <x:v>0</x:v>
      </x:c>
      <x:c r="G136" s="33" t="n">
        <x:f>IFERROR(0+(G130+G131-G132-G19),"待填")</x:f>
        <x:v>0</x:v>
      </x:c>
      <x:c r="H136" s="33" t="n">
        <x:f>IFERROR(0+(H130+H131-H132-H19),"待填")</x:f>
        <x:v>0</x:v>
      </x:c>
      <x:c r="I136" s="33" t="n">
        <x:f>IFERROR(0+(I130+I131-I132-I19),"待填")</x:f>
        <x:v>0</x:v>
      </x:c>
      <x:c r="J136" s="33" t="n">
        <x:f>IFERROR(0+(J130+J131-J132-J19),"待填")</x:f>
        <x:v>0</x:v>
      </x:c>
      <x:c r="K136" s="33" t="n">
        <x:f>IFERROR(0+(K130+K131-K132-K19),"待填")</x:f>
        <x:v>0</x:v>
      </x:c>
      <x:c r="L136" s="33" t="n">
        <x:f>IFERROR(0+(L130+L131-L132-L19),"待填")</x:f>
        <x:v>0</x:v>
      </x:c>
      <x:c r="M136" s="33" t="n">
        <x:f>IFERROR(0+(M130+M131-M132-M19),"待填")</x:f>
        <x:v>0</x:v>
      </x:c>
      <x:c r="N136" s="33" t="n">
        <x:f>IFERROR(0+(N130+N131-N132-N19),"待填")</x:f>
        <x:v>0</x:v>
      </x:c>
      <x:c r="O136" s="33" t="n">
        <x:f>IFERROR(0+(O130+O131-O132-O19),"待填")</x:f>
        <x:v>0</x:v>
      </x:c>
      <x:c r="P136" s="33" t="n">
        <x:f>IFERROR(0+(P130+P131-P132-P19),"待填")</x:f>
        <x:v>0</x:v>
      </x:c>
      <x:c r="Q136" s="33" t="n">
        <x:f>IFERROR(0+(Q130+Q131-Q132-Q19),"待填")</x:f>
        <x:v>0</x:v>
      </x:c>
      <x:c r="R136" s="33" t="n">
        <x:f>IFERROR(0+(R130+R131-R132-R19),"待填")</x:f>
        <x:v>0</x:v>
      </x:c>
      <x:c r="S136" s="33" t="n">
        <x:f>IFERROR(0+(S130+S131-S132-S19),"待填")</x:f>
        <x:v>0</x:v>
      </x:c>
      <x:c r="T136" s="33" t="n">
        <x:f>IFERROR(0+(T130+T131-T132-T19),"待填")</x:f>
        <x:v>0</x:v>
      </x:c>
      <x:c r="U136" s="33"/>
      <x:c r="V136" s="33"/>
      <x:c r="W136" s="33"/>
    </x:row>
    <x:row r="137" ht="15.5" customHeight="1">
      <x:c r="A137" s="2"/>
      <x:c r="B137" s="29" t="str">
        <x:v>净值计算校验</x:v>
      </x:c>
      <x:c r="C137" s="32" t="str"/>
      <x:c r="D137" s="33" t="n">
        <x:f>IFERROR(0+(D19-D28-D37-D8),"待填")</x:f>
        <x:v>0</x:v>
      </x:c>
      <x:c r="E137" s="33" t="n">
        <x:f>IFERROR(0+(E19-E28-E37-E8),"待填")</x:f>
        <x:v>0</x:v>
      </x:c>
      <x:c r="F137" s="33" t="n">
        <x:f>IFERROR(0+(F19-F28-F37-F8),"待填")</x:f>
        <x:v>0</x:v>
      </x:c>
      <x:c r="G137" s="33" t="n">
        <x:f>IFERROR(0+(G19-G28-G37-G8),"待填")</x:f>
        <x:v>0</x:v>
      </x:c>
      <x:c r="H137" s="33" t="n">
        <x:f>IFERROR(0+(H19-H28-H37-H8),"待填")</x:f>
        <x:v>0</x:v>
      </x:c>
      <x:c r="I137" s="33" t="n">
        <x:f>IFERROR(0+(I19-I28-I37-I8),"待填")</x:f>
        <x:v>0</x:v>
      </x:c>
      <x:c r="J137" s="33" t="n">
        <x:f>IFERROR(0+(J19-J28-J37-J8),"待填")</x:f>
        <x:v>0</x:v>
      </x:c>
      <x:c r="K137" s="33" t="n">
        <x:f>IFERROR(0+(K19-K28-K37-K8),"待填")</x:f>
        <x:v>0</x:v>
      </x:c>
      <x:c r="L137" s="33" t="n">
        <x:f>IFERROR(0+(L19-L28-L37-L8),"待填")</x:f>
        <x:v>0</x:v>
      </x:c>
      <x:c r="M137" s="33" t="n">
        <x:f>IFERROR(0+(M19-M28-M37-M8),"待填")</x:f>
        <x:v>0</x:v>
      </x:c>
      <x:c r="N137" s="33" t="n">
        <x:f>IFERROR(0+(N19-N28-N37-N8),"待填")</x:f>
        <x:v>0</x:v>
      </x:c>
      <x:c r="O137" s="33" t="n">
        <x:f>IFERROR(0+(O19-O28-O37-O8),"待填")</x:f>
        <x:v>0</x:v>
      </x:c>
      <x:c r="P137" s="33" t="n">
        <x:f>IFERROR(0+(P19-P28-P37-P8),"待填")</x:f>
        <x:v>0</x:v>
      </x:c>
      <x:c r="Q137" s="33" t="n">
        <x:f>IFERROR(0+(Q19-Q28-Q37-Q8),"待填")</x:f>
        <x:v>0</x:v>
      </x:c>
      <x:c r="R137" s="33" t="n">
        <x:f>IFERROR(0+(R19-R28-R37-R8),"待填")</x:f>
        <x:v>0</x:v>
      </x:c>
      <x:c r="S137" s="33" t="n">
        <x:f>IFERROR(0+(S19-S28-S37-S8),"待填")</x:f>
        <x:v>0</x:v>
      </x:c>
      <x:c r="T137" s="33" t="n">
        <x:f>IFERROR(0+(T19-T28-T37-T8),"待填")</x:f>
        <x:v>0</x:v>
      </x:c>
      <x:c r="U137" s="33" t="n">
        <x:f>IFERROR(0+(U19-U28-U37-U8),"待填")</x:f>
        <x:v>0</x:v>
      </x:c>
      <x:c r="V137" s="33" t="n">
        <x:f>IFERROR(0+(V19-V28-V37-V8),"待填")</x:f>
        <x:v>0</x:v>
      </x:c>
      <x:c r="W137" s="33" t="n">
        <x:f>IFERROR(0+(W19-W28-W37-W8),"待填")</x:f>
        <x:v>0</x:v>
      </x:c>
    </x:row>
    <x:row r="138" ht="21" customHeight="1">
      <x:c r="A138" s="2"/>
      <x:c r="B138" s="25" t="str">
        <x:v>【专用设备】</x:v>
      </x:c>
      <x:c r="C138" s="26" t="str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</x:row>
    <x:row r="139" ht="15.5" customHeight="1">
      <x:c r="A139" s="2"/>
      <x:c r="B139" s="2" t="str">
        <x:v>期初原价（披露）</x:v>
      </x:c>
      <x:c r="C139" s="6" t="str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</x:row>
    <x:row r="140" ht="15.5" customHeight="1">
      <x:c r="A140" s="2"/>
      <x:c r="B140" s="2" t="str">
        <x:v>本期增加（披露）</x:v>
      </x:c>
      <x:c r="C140" s="6" t="str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</x:row>
    <x:row r="141" ht="15.5" customHeight="1">
      <x:c r="A141" s="2"/>
      <x:c r="B141" s="2" t="str">
        <x:v>本期减少（披露）</x:v>
      </x:c>
      <x:c r="C141" s="6" t="str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</x:row>
    <x:row r="142" ht="15.5" customHeight="1">
      <x:c r="A142" s="2"/>
      <x:c r="B142" s="2" t="str">
        <x:v>增加中：外币折算</x:v>
      </x:c>
      <x:c r="C142" s="6" t="str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</x:row>
    <x:row r="143" ht="15.5" customHeight="1">
      <x:c r="A143" s="2"/>
      <x:c r="B143" s="2" t="str">
        <x:v>增加中：企业合并</x:v>
      </x:c>
      <x:c r="C143" s="6" t="str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</x:row>
    <x:row r="144" ht="15.5" customHeight="1">
      <x:c r="A144" s="2"/>
      <x:c r="B144" s="2" t="str">
        <x:v>期初重分类 / 口径调整</x:v>
      </x:c>
      <x:c r="C144" s="6" t="str"/>
      <x:c r="D144" s="4"/>
      <x:c r="E144" s="4" t="n">
        <x:f>IFERROR(0+(E139-D20),"待填")</x:f>
        <x:v>0</x:v>
      </x:c>
      <x:c r="F144" s="4" t="n">
        <x:f>IFERROR(0+(F139-E20),"待填")</x:f>
        <x:v>0</x:v>
      </x:c>
      <x:c r="G144" s="4" t="n">
        <x:f>IFERROR(0+(G139-F20),"待填")</x:f>
        <x:v>0</x:v>
      </x:c>
      <x:c r="H144" s="4" t="n">
        <x:f>IFERROR(0+(H139-G20),"待填")</x:f>
        <x:v>0</x:v>
      </x:c>
      <x:c r="I144" s="4" t="n">
        <x:f>IFERROR(0+(I139-H20),"待填")</x:f>
        <x:v>0</x:v>
      </x:c>
      <x:c r="J144" s="4" t="n">
        <x:f>IFERROR(0+(J139-I20),"待填")</x:f>
        <x:v>0</x:v>
      </x:c>
      <x:c r="K144" s="4" t="n">
        <x:f>IFERROR(0+(K139-J20),"待填")</x:f>
        <x:v>0</x:v>
      </x:c>
      <x:c r="L144" s="4" t="n">
        <x:f>IFERROR(0+(L139-K20),"待填")</x:f>
        <x:v>0</x:v>
      </x:c>
      <x:c r="M144" s="4" t="n">
        <x:f>IFERROR(0+(M139-L20),"待填")</x:f>
        <x:v>0</x:v>
      </x:c>
      <x:c r="N144" s="4" t="n">
        <x:f>IFERROR(0+(N139-M20),"待填")</x:f>
        <x:v>0</x:v>
      </x:c>
      <x:c r="O144" s="4" t="n">
        <x:f>IFERROR(0+(O139-N20),"待填")</x:f>
        <x:v>0</x:v>
      </x:c>
      <x:c r="P144" s="4" t="n">
        <x:f>IFERROR(0+(P139-O20),"待填")</x:f>
        <x:v>0</x:v>
      </x:c>
      <x:c r="Q144" s="4" t="n">
        <x:f>IFERROR(0+(Q139-P20),"待填")</x:f>
        <x:v>0</x:v>
      </x:c>
      <x:c r="R144" s="4" t="n">
        <x:f>IFERROR(0+(R139-Q20),"待填")</x:f>
        <x:v>0</x:v>
      </x:c>
      <x:c r="S144" s="4" t="n">
        <x:f>IFERROR(0+(S139-R20),"待填")</x:f>
        <x:v>0</x:v>
      </x:c>
      <x:c r="T144" s="4" t="n">
        <x:f>IFERROR(0+(T139-S20),"待填")</x:f>
        <x:v>0</x:v>
      </x:c>
      <x:c r="U144" s="4"/>
      <x:c r="V144" s="4"/>
      <x:c r="W144" s="4"/>
    </x:row>
    <x:row r="145" ht="15.5" customHeight="1">
      <x:c r="A145" s="2"/>
      <x:c r="B145" s="29" t="str">
        <x:v>原价滚动校验</x:v>
      </x:c>
      <x:c r="C145" s="32" t="str"/>
      <x:c r="D145" s="33"/>
      <x:c r="E145" s="33" t="n">
        <x:f>IFERROR(0+(E139+E140-E141-E20),"待填")</x:f>
        <x:v>0</x:v>
      </x:c>
      <x:c r="F145" s="33" t="n">
        <x:f>IFERROR(0+(F139+F140-F141-F20),"待填")</x:f>
        <x:v>0</x:v>
      </x:c>
      <x:c r="G145" s="33" t="n">
        <x:f>IFERROR(0+(G139+G140-G141-G20),"待填")</x:f>
        <x:v>0</x:v>
      </x:c>
      <x:c r="H145" s="33" t="n">
        <x:f>IFERROR(0+(H139+H140-H141-H20),"待填")</x:f>
        <x:v>0</x:v>
      </x:c>
      <x:c r="I145" s="33" t="n">
        <x:f>IFERROR(0+(I139+I140-I141-I20),"待填")</x:f>
        <x:v>0</x:v>
      </x:c>
      <x:c r="J145" s="33" t="n">
        <x:f>IFERROR(0+(J139+J140-J141-J20),"待填")</x:f>
        <x:v>0</x:v>
      </x:c>
      <x:c r="K145" s="33" t="n">
        <x:f>IFERROR(0+(K139+K140-K141-K20),"待填")</x:f>
        <x:v>0</x:v>
      </x:c>
      <x:c r="L145" s="33" t="n">
        <x:f>IFERROR(0+(L139+L140-L141-L20),"待填")</x:f>
        <x:v>0</x:v>
      </x:c>
      <x:c r="M145" s="33" t="n">
        <x:f>IFERROR(0+(M139+M140-M141-M20),"待填")</x:f>
        <x:v>0</x:v>
      </x:c>
      <x:c r="N145" s="33" t="n">
        <x:f>IFERROR(0+(N139+N140-N141-N20),"待填")</x:f>
        <x:v>0</x:v>
      </x:c>
      <x:c r="O145" s="33" t="n">
        <x:f>IFERROR(0+(O139+O140-O141-O20),"待填")</x:f>
        <x:v>0</x:v>
      </x:c>
      <x:c r="P145" s="33" t="n">
        <x:f>IFERROR(0+(P139+P140-P141-P20),"待填")</x:f>
        <x:v>0</x:v>
      </x:c>
      <x:c r="Q145" s="33" t="n">
        <x:f>IFERROR(0+(Q139+Q140-Q141-Q20),"待填")</x:f>
        <x:v>0</x:v>
      </x:c>
      <x:c r="R145" s="33" t="n">
        <x:f>IFERROR(0+(R139+R140-R141-R20),"待填")</x:f>
        <x:v>0</x:v>
      </x:c>
      <x:c r="S145" s="33" t="n">
        <x:f>IFERROR(0+(S139+S140-S141-S20),"待填")</x:f>
        <x:v>0</x:v>
      </x:c>
      <x:c r="T145" s="33" t="n">
        <x:f>IFERROR(0+(T139+T140-T141-T20),"待填")</x:f>
        <x:v>0</x:v>
      </x:c>
      <x:c r="U145" s="33"/>
      <x:c r="V145" s="33"/>
      <x:c r="W145" s="33"/>
    </x:row>
    <x:row r="146" ht="15.5" customHeight="1">
      <x:c r="A146" s="2"/>
      <x:c r="B146" s="29" t="str">
        <x:v>净值计算校验</x:v>
      </x:c>
      <x:c r="C146" s="32" t="str"/>
      <x:c r="D146" s="33" t="n">
        <x:f>IFERROR(0+(D20-D29-D38-D9),"待填")</x:f>
        <x:v>0</x:v>
      </x:c>
      <x:c r="E146" s="33" t="n">
        <x:f>IFERROR(0+(E20-E29-E38-E9),"待填")</x:f>
        <x:v>0</x:v>
      </x:c>
      <x:c r="F146" s="33" t="n">
        <x:f>IFERROR(0+(F20-F29-F38-F9),"待填")</x:f>
        <x:v>0</x:v>
      </x:c>
      <x:c r="G146" s="33" t="n">
        <x:f>IFERROR(0+(G20-G29-G38-G9),"待填")</x:f>
        <x:v>0</x:v>
      </x:c>
      <x:c r="H146" s="33" t="n">
        <x:f>IFERROR(0+(H20-H29-H38-H9),"待填")</x:f>
        <x:v>0</x:v>
      </x:c>
      <x:c r="I146" s="33" t="n">
        <x:f>IFERROR(0+(I20-I29-I38-I9),"待填")</x:f>
        <x:v>0</x:v>
      </x:c>
      <x:c r="J146" s="33" t="n">
        <x:f>IFERROR(0+(J20-J29-J38-J9),"待填")</x:f>
        <x:v>0</x:v>
      </x:c>
      <x:c r="K146" s="33" t="n">
        <x:f>IFERROR(0+(K20-K29-K38-K9),"待填")</x:f>
        <x:v>0</x:v>
      </x:c>
      <x:c r="L146" s="33" t="n">
        <x:f>IFERROR(0+(L20-L29-L38-L9),"待填")</x:f>
        <x:v>0</x:v>
      </x:c>
      <x:c r="M146" s="33" t="n">
        <x:f>IFERROR(0+(M20-M29-M38-M9),"待填")</x:f>
        <x:v>0</x:v>
      </x:c>
      <x:c r="N146" s="33" t="n">
        <x:f>IFERROR(0+(N20-N29-N38-N9),"待填")</x:f>
        <x:v>0</x:v>
      </x:c>
      <x:c r="O146" s="33" t="n">
        <x:f>IFERROR(0+(O20-O29-O38-O9),"待填")</x:f>
        <x:v>0</x:v>
      </x:c>
      <x:c r="P146" s="33" t="n">
        <x:f>IFERROR(0+(P20-P29-P38-P9),"待填")</x:f>
        <x:v>0</x:v>
      </x:c>
      <x:c r="Q146" s="33" t="n">
        <x:f>IFERROR(0+(Q20-Q29-Q38-Q9),"待填")</x:f>
        <x:v>0</x:v>
      </x:c>
      <x:c r="R146" s="33" t="n">
        <x:f>IFERROR(0+(R20-R29-R38-R9),"待填")</x:f>
        <x:v>0</x:v>
      </x:c>
      <x:c r="S146" s="33" t="n">
        <x:f>IFERROR(0+(S20-S29-S38-S9),"待填")</x:f>
        <x:v>0</x:v>
      </x:c>
      <x:c r="T146" s="33" t="n">
        <x:f>IFERROR(0+(T20-T29-T38-T9),"待填")</x:f>
        <x:v>0</x:v>
      </x:c>
      <x:c r="U146" s="33" t="n">
        <x:f>IFERROR(0+(U20-U29-U38-U9),"待填")</x:f>
        <x:v>0</x:v>
      </x:c>
      <x:c r="V146" s="33" t="n">
        <x:f>IFERROR(0+(V20-V29-V38-V9),"待填")</x:f>
        <x:v>0</x:v>
      </x:c>
      <x:c r="W146" s="33" t="n">
        <x:f>IFERROR(0+(W20-W29-W38-W9),"待填")</x:f>
        <x:v>0</x:v>
      </x:c>
    </x:row>
    <x:row r="147" ht="21" customHeight="1">
      <x:c r="A147" s="2"/>
      <x:c r="B147" s="25" t="str">
        <x:v>【机器设备】</x:v>
      </x:c>
      <x:c r="C147" s="26" t="str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</x:row>
    <x:row r="148" ht="15.5" customHeight="1">
      <x:c r="A148" s="2"/>
      <x:c r="B148" s="2" t="str">
        <x:v>期初原价（披露）</x:v>
      </x:c>
      <x:c r="C148" s="6" t="str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</x:row>
    <x:row r="149" ht="15.5" customHeight="1">
      <x:c r="A149" s="2"/>
      <x:c r="B149" s="2" t="str">
        <x:v>本期增加（披露）</x:v>
      </x:c>
      <x:c r="C149" s="6" t="str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</x:row>
    <x:row r="150" ht="15.5" customHeight="1">
      <x:c r="A150" s="2"/>
      <x:c r="B150" s="2" t="str">
        <x:v>本期减少（披露）</x:v>
      </x:c>
      <x:c r="C150" s="6" t="str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</x:row>
    <x:row r="151" ht="15.5" customHeight="1">
      <x:c r="A151" s="2"/>
      <x:c r="B151" s="2" t="str">
        <x:v>增加中：外币折算</x:v>
      </x:c>
      <x:c r="C151" s="6" t="str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</x:row>
    <x:row r="152" ht="15.5" customHeight="1">
      <x:c r="A152" s="2"/>
      <x:c r="B152" s="2" t="str">
        <x:v>增加中：企业合并</x:v>
      </x:c>
      <x:c r="C152" s="6" t="str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</x:row>
    <x:row r="153" ht="15.5" customHeight="1">
      <x:c r="A153" s="2"/>
      <x:c r="B153" s="2" t="str">
        <x:v>期初重分类 / 口径调整</x:v>
      </x:c>
      <x:c r="C153" s="6" t="str"/>
      <x:c r="D153" s="4"/>
      <x:c r="E153" s="4" t="n">
        <x:f>IFERROR(0+(E148-D21),"待填")</x:f>
        <x:v>0</x:v>
      </x:c>
      <x:c r="F153" s="4" t="n">
        <x:f>IFERROR(0+(F148-E21),"待填")</x:f>
        <x:v>0</x:v>
      </x:c>
      <x:c r="G153" s="4" t="n">
        <x:f>IFERROR(0+(G148-F21),"待填")</x:f>
        <x:v>0</x:v>
      </x:c>
      <x:c r="H153" s="4" t="n">
        <x:f>IFERROR(0+(H148-G21),"待填")</x:f>
        <x:v>0</x:v>
      </x:c>
      <x:c r="I153" s="4" t="n">
        <x:f>IFERROR(0+(I148-H21),"待填")</x:f>
        <x:v>0</x:v>
      </x:c>
      <x:c r="J153" s="4" t="n">
        <x:f>IFERROR(0+(J148-I21),"待填")</x:f>
        <x:v>0</x:v>
      </x:c>
      <x:c r="K153" s="4" t="n">
        <x:f>IFERROR(0+(K148-J21),"待填")</x:f>
        <x:v>0</x:v>
      </x:c>
      <x:c r="L153" s="4" t="n">
        <x:f>IFERROR(0+(L148-K21),"待填")</x:f>
        <x:v>0</x:v>
      </x:c>
      <x:c r="M153" s="4" t="n">
        <x:f>IFERROR(0+(M148-L21),"待填")</x:f>
        <x:v>0</x:v>
      </x:c>
      <x:c r="N153" s="4" t="n">
        <x:f>IFERROR(0+(N148-M21),"待填")</x:f>
        <x:v>0</x:v>
      </x:c>
      <x:c r="O153" s="4" t="n">
        <x:f>IFERROR(0+(O148-N21),"待填")</x:f>
        <x:v>0</x:v>
      </x:c>
      <x:c r="P153" s="4" t="n">
        <x:f>IFERROR(0+(P148-O21),"待填")</x:f>
        <x:v>0</x:v>
      </x:c>
      <x:c r="Q153" s="4" t="n">
        <x:f>IFERROR(0+(Q148-P21),"待填")</x:f>
        <x:v>0</x:v>
      </x:c>
      <x:c r="R153" s="4" t="n">
        <x:f>IFERROR(0+(R148-Q21),"待填")</x:f>
        <x:v>0</x:v>
      </x:c>
      <x:c r="S153" s="4" t="n">
        <x:f>IFERROR(0+(S148-R21),"待填")</x:f>
        <x:v>0</x:v>
      </x:c>
      <x:c r="T153" s="4" t="n">
        <x:f>IFERROR(0+(T148-S21),"待填")</x:f>
        <x:v>0</x:v>
      </x:c>
      <x:c r="U153" s="4"/>
      <x:c r="V153" s="4"/>
      <x:c r="W153" s="4"/>
    </x:row>
    <x:row r="154" ht="15.5" customHeight="1">
      <x:c r="A154" s="2"/>
      <x:c r="B154" s="29" t="str">
        <x:v>原价滚动校验</x:v>
      </x:c>
      <x:c r="C154" s="32" t="str"/>
      <x:c r="D154" s="33"/>
      <x:c r="E154" s="33" t="n">
        <x:f>IFERROR(0+(E148+E149-E150-E21),"待填")</x:f>
        <x:v>0</x:v>
      </x:c>
      <x:c r="F154" s="33" t="n">
        <x:f>IFERROR(0+(F148+F149-F150-F21),"待填")</x:f>
        <x:v>0</x:v>
      </x:c>
      <x:c r="G154" s="33" t="n">
        <x:f>IFERROR(0+(G148+G149-G150-G21),"待填")</x:f>
        <x:v>0</x:v>
      </x:c>
      <x:c r="H154" s="33" t="n">
        <x:f>IFERROR(0+(H148+H149-H150-H21),"待填")</x:f>
        <x:v>0</x:v>
      </x:c>
      <x:c r="I154" s="33" t="n">
        <x:f>IFERROR(0+(I148+I149-I150-I21),"待填")</x:f>
        <x:v>0</x:v>
      </x:c>
      <x:c r="J154" s="33" t="n">
        <x:f>IFERROR(0+(J148+J149-J150-J21),"待填")</x:f>
        <x:v>0</x:v>
      </x:c>
      <x:c r="K154" s="33" t="n">
        <x:f>IFERROR(0+(K148+K149-K150-K21),"待填")</x:f>
        <x:v>0</x:v>
      </x:c>
      <x:c r="L154" s="33" t="n">
        <x:f>IFERROR(0+(L148+L149-L150-L21),"待填")</x:f>
        <x:v>0</x:v>
      </x:c>
      <x:c r="M154" s="33" t="n">
        <x:f>IFERROR(0+(M148+M149-M150-M21),"待填")</x:f>
        <x:v>0</x:v>
      </x:c>
      <x:c r="N154" s="33" t="n">
        <x:f>IFERROR(0+(N148+N149-N150-N21),"待填")</x:f>
        <x:v>0</x:v>
      </x:c>
      <x:c r="O154" s="33" t="n">
        <x:f>IFERROR(0+(O148+O149-O150-O21),"待填")</x:f>
        <x:v>0</x:v>
      </x:c>
      <x:c r="P154" s="33" t="n">
        <x:f>IFERROR(0+(P148+P149-P150-P21),"待填")</x:f>
        <x:v>0</x:v>
      </x:c>
      <x:c r="Q154" s="33" t="n">
        <x:f>IFERROR(0+(Q148+Q149-Q150-Q21),"待填")</x:f>
        <x:v>0</x:v>
      </x:c>
      <x:c r="R154" s="33" t="n">
        <x:f>IFERROR(0+(R148+R149-R150-R21),"待填")</x:f>
        <x:v>0</x:v>
      </x:c>
      <x:c r="S154" s="33" t="n">
        <x:f>IFERROR(0+(S148+S149-S150-S21),"待填")</x:f>
        <x:v>0</x:v>
      </x:c>
      <x:c r="T154" s="33" t="n">
        <x:f>IFERROR(0+(T148+T149-T150-T21),"待填")</x:f>
        <x:v>0</x:v>
      </x:c>
      <x:c r="U154" s="33"/>
      <x:c r="V154" s="33"/>
      <x:c r="W154" s="33"/>
    </x:row>
    <x:row r="155" ht="15.5" customHeight="1">
      <x:c r="A155" s="2"/>
      <x:c r="B155" s="29" t="str">
        <x:v>净值计算校验</x:v>
      </x:c>
      <x:c r="C155" s="32" t="str"/>
      <x:c r="D155" s="33" t="n">
        <x:f>IFERROR(0+(D21-D30-D39-D10),"待填")</x:f>
        <x:v>0</x:v>
      </x:c>
      <x:c r="E155" s="33" t="n">
        <x:f>IFERROR(0+(E21-E30-E39-E10),"待填")</x:f>
        <x:v>0</x:v>
      </x:c>
      <x:c r="F155" s="33" t="n">
        <x:f>IFERROR(0+(F21-F30-F39-F10),"待填")</x:f>
        <x:v>0</x:v>
      </x:c>
      <x:c r="G155" s="33" t="n">
        <x:f>IFERROR(0+(G21-G30-G39-G10),"待填")</x:f>
        <x:v>0</x:v>
      </x:c>
      <x:c r="H155" s="33" t="n">
        <x:f>IFERROR(0+(H21-H30-H39-H10),"待填")</x:f>
        <x:v>0</x:v>
      </x:c>
      <x:c r="I155" s="33" t="n">
        <x:f>IFERROR(0+(I21-I30-I39-I10),"待填")</x:f>
        <x:v>0</x:v>
      </x:c>
      <x:c r="J155" s="33" t="n">
        <x:f>IFERROR(0+(J21-J30-J39-J10),"待填")</x:f>
        <x:v>0</x:v>
      </x:c>
      <x:c r="K155" s="33" t="n">
        <x:f>IFERROR(0+(K21-K30-K39-K10),"待填")</x:f>
        <x:v>0</x:v>
      </x:c>
      <x:c r="L155" s="33" t="n">
        <x:f>IFERROR(0+(L21-L30-L39-L10),"待填")</x:f>
        <x:v>0</x:v>
      </x:c>
      <x:c r="M155" s="33" t="n">
        <x:f>IFERROR(0+(M21-M30-M39-M10),"待填")</x:f>
        <x:v>0</x:v>
      </x:c>
      <x:c r="N155" s="33" t="n">
        <x:f>IFERROR(0+(N21-N30-N39-N10),"待填")</x:f>
        <x:v>0</x:v>
      </x:c>
      <x:c r="O155" s="33" t="n">
        <x:f>IFERROR(0+(O21-O30-O39-O10),"待填")</x:f>
        <x:v>0</x:v>
      </x:c>
      <x:c r="P155" s="33" t="n">
        <x:f>IFERROR(0+(P21-P30-P39-P10),"待填")</x:f>
        <x:v>0</x:v>
      </x:c>
      <x:c r="Q155" s="33" t="n">
        <x:f>IFERROR(0+(Q21-Q30-Q39-Q10),"待填")</x:f>
        <x:v>0</x:v>
      </x:c>
      <x:c r="R155" s="33" t="n">
        <x:f>IFERROR(0+(R21-R30-R39-R10),"待填")</x:f>
        <x:v>0</x:v>
      </x:c>
      <x:c r="S155" s="33" t="n">
        <x:f>IFERROR(0+(S21-S30-S39-S10),"待填")</x:f>
        <x:v>0</x:v>
      </x:c>
      <x:c r="T155" s="33" t="n">
        <x:f>IFERROR(0+(T21-T30-T39-T10),"待填")</x:f>
        <x:v>0</x:v>
      </x:c>
      <x:c r="U155" s="33" t="n">
        <x:f>IFERROR(0+(U21-U30-U39-U10),"待填")</x:f>
        <x:v>0</x:v>
      </x:c>
      <x:c r="V155" s="33" t="n">
        <x:f>IFERROR(0+(V21-V30-V39-V10),"待填")</x:f>
        <x:v>0</x:v>
      </x:c>
      <x:c r="W155" s="33" t="n">
        <x:f>IFERROR(0+(W21-W30-W39-W10),"待填")</x:f>
        <x:v>0</x:v>
      </x:c>
    </x:row>
    <x:row r="156" ht="21" customHeight="1">
      <x:c r="A156" s="2"/>
      <x:c r="B156" s="25" t="str">
        <x:v>【运输工具】</x:v>
      </x:c>
      <x:c r="C156" s="26" t="str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</x:row>
    <x:row r="157" ht="15.5" customHeight="1">
      <x:c r="A157" s="2"/>
      <x:c r="B157" s="2" t="str">
        <x:v>期初原价（披露）</x:v>
      </x:c>
      <x:c r="C157" s="6" t="str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</x:row>
    <x:row r="158" ht="15.5" customHeight="1">
      <x:c r="A158" s="2"/>
      <x:c r="B158" s="2" t="str">
        <x:v>本期增加（披露）</x:v>
      </x:c>
      <x:c r="C158" s="6" t="str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</x:row>
    <x:row r="159" ht="15.5" customHeight="1">
      <x:c r="A159" s="2"/>
      <x:c r="B159" s="2" t="str">
        <x:v>本期减少（披露）</x:v>
      </x:c>
      <x:c r="C159" s="6" t="str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</x:row>
    <x:row r="160" ht="15.5" customHeight="1">
      <x:c r="A160" s="2"/>
      <x:c r="B160" s="2" t="str">
        <x:v>增加中：外币折算</x:v>
      </x:c>
      <x:c r="C160" s="6" t="str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</x:row>
    <x:row r="161" ht="15.5" customHeight="1">
      <x:c r="A161" s="2"/>
      <x:c r="B161" s="2" t="str">
        <x:v>增加中：企业合并</x:v>
      </x:c>
      <x:c r="C161" s="6" t="str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</x:row>
    <x:row r="162" ht="15.5" customHeight="1">
      <x:c r="A162" s="2"/>
      <x:c r="B162" s="2" t="str">
        <x:v>期初重分类 / 口径调整</x:v>
      </x:c>
      <x:c r="C162" s="6" t="str"/>
      <x:c r="D162" s="4"/>
      <x:c r="E162" s="4" t="n">
        <x:f>IFERROR(0+(E157-D22),"待填")</x:f>
        <x:v>0</x:v>
      </x:c>
      <x:c r="F162" s="4" t="n">
        <x:f>IFERROR(0+(F157-E22),"待填")</x:f>
        <x:v>0</x:v>
      </x:c>
      <x:c r="G162" s="4" t="n">
        <x:f>IFERROR(0+(G157-F22),"待填")</x:f>
        <x:v>0</x:v>
      </x:c>
      <x:c r="H162" s="4" t="n">
        <x:f>IFERROR(0+(H157-G22),"待填")</x:f>
        <x:v>0</x:v>
      </x:c>
      <x:c r="I162" s="4" t="n">
        <x:f>IFERROR(0+(I157-H22),"待填")</x:f>
        <x:v>0</x:v>
      </x:c>
      <x:c r="J162" s="4" t="n">
        <x:f>IFERROR(0+(J157-I22),"待填")</x:f>
        <x:v>0</x:v>
      </x:c>
      <x:c r="K162" s="4" t="n">
        <x:f>IFERROR(0+(K157-J22),"待填")</x:f>
        <x:v>0</x:v>
      </x:c>
      <x:c r="L162" s="4" t="n">
        <x:f>IFERROR(0+(L157-K22),"待填")</x:f>
        <x:v>0</x:v>
      </x:c>
      <x:c r="M162" s="4" t="n">
        <x:f>IFERROR(0+(M157-L22),"待填")</x:f>
        <x:v>0</x:v>
      </x:c>
      <x:c r="N162" s="4" t="n">
        <x:f>IFERROR(0+(N157-M22),"待填")</x:f>
        <x:v>0</x:v>
      </x:c>
      <x:c r="O162" s="4" t="n">
        <x:f>IFERROR(0+(O157-N22),"待填")</x:f>
        <x:v>0</x:v>
      </x:c>
      <x:c r="P162" s="4" t="n">
        <x:f>IFERROR(0+(P157-O22),"待填")</x:f>
        <x:v>0</x:v>
      </x:c>
      <x:c r="Q162" s="4" t="n">
        <x:f>IFERROR(0+(Q157-P22),"待填")</x:f>
        <x:v>0</x:v>
      </x:c>
      <x:c r="R162" s="4" t="n">
        <x:f>IFERROR(0+(R157-Q22),"待填")</x:f>
        <x:v>0</x:v>
      </x:c>
      <x:c r="S162" s="4" t="n">
        <x:f>IFERROR(0+(S157-R22),"待填")</x:f>
        <x:v>0</x:v>
      </x:c>
      <x:c r="T162" s="4" t="n">
        <x:f>IFERROR(0+(T157-S22),"待填")</x:f>
        <x:v>0</x:v>
      </x:c>
      <x:c r="U162" s="4"/>
      <x:c r="V162" s="4"/>
      <x:c r="W162" s="4"/>
    </x:row>
    <x:row r="163" ht="15.5" customHeight="1">
      <x:c r="A163" s="2"/>
      <x:c r="B163" s="29" t="str">
        <x:v>原价滚动校验</x:v>
      </x:c>
      <x:c r="C163" s="32" t="str"/>
      <x:c r="D163" s="33"/>
      <x:c r="E163" s="33" t="n">
        <x:f>IFERROR(0+(E157+E158-E159-E22),"待填")</x:f>
        <x:v>0</x:v>
      </x:c>
      <x:c r="F163" s="33" t="n">
        <x:f>IFERROR(0+(F157+F158-F159-F22),"待填")</x:f>
        <x:v>0</x:v>
      </x:c>
      <x:c r="G163" s="33" t="n">
        <x:f>IFERROR(0+(G157+G158-G159-G22),"待填")</x:f>
        <x:v>0</x:v>
      </x:c>
      <x:c r="H163" s="33" t="n">
        <x:f>IFERROR(0+(H157+H158-H159-H22),"待填")</x:f>
        <x:v>0</x:v>
      </x:c>
      <x:c r="I163" s="33" t="n">
        <x:f>IFERROR(0+(I157+I158-I159-I22),"待填")</x:f>
        <x:v>0</x:v>
      </x:c>
      <x:c r="J163" s="33" t="n">
        <x:f>IFERROR(0+(J157+J158-J159-J22),"待填")</x:f>
        <x:v>0</x:v>
      </x:c>
      <x:c r="K163" s="33" t="n">
        <x:f>IFERROR(0+(K157+K158-K159-K22),"待填")</x:f>
        <x:v>0</x:v>
      </x:c>
      <x:c r="L163" s="33" t="n">
        <x:f>IFERROR(0+(L157+L158-L159-L22),"待填")</x:f>
        <x:v>0</x:v>
      </x:c>
      <x:c r="M163" s="33" t="n">
        <x:f>IFERROR(0+(M157+M158-M159-M22),"待填")</x:f>
        <x:v>0</x:v>
      </x:c>
      <x:c r="N163" s="33" t="n">
        <x:f>IFERROR(0+(N157+N158-N159-N22),"待填")</x:f>
        <x:v>0</x:v>
      </x:c>
      <x:c r="O163" s="33" t="n">
        <x:f>IFERROR(0+(O157+O158-O159-O22),"待填")</x:f>
        <x:v>0</x:v>
      </x:c>
      <x:c r="P163" s="33" t="n">
        <x:f>IFERROR(0+(P157+P158-P159-P22),"待填")</x:f>
        <x:v>0</x:v>
      </x:c>
      <x:c r="Q163" s="33" t="n">
        <x:f>IFERROR(0+(Q157+Q158-Q159-Q22),"待填")</x:f>
        <x:v>0</x:v>
      </x:c>
      <x:c r="R163" s="33" t="n">
        <x:f>IFERROR(0+(R157+R158-R159-R22),"待填")</x:f>
        <x:v>0</x:v>
      </x:c>
      <x:c r="S163" s="33" t="n">
        <x:f>IFERROR(0+(S157+S158-S159-S22),"待填")</x:f>
        <x:v>0</x:v>
      </x:c>
      <x:c r="T163" s="33" t="n">
        <x:f>IFERROR(0+(T157+T158-T159-T22),"待填")</x:f>
        <x:v>0</x:v>
      </x:c>
      <x:c r="U163" s="33"/>
      <x:c r="V163" s="33"/>
      <x:c r="W163" s="33"/>
    </x:row>
    <x:row r="164" ht="15.5" customHeight="1">
      <x:c r="A164" s="2"/>
      <x:c r="B164" s="29" t="str">
        <x:v>净值计算校验</x:v>
      </x:c>
      <x:c r="C164" s="32" t="str"/>
      <x:c r="D164" s="33" t="n">
        <x:f>IFERROR(0+(D22-D31-D40-D11),"待填")</x:f>
        <x:v>0</x:v>
      </x:c>
      <x:c r="E164" s="33" t="n">
        <x:f>IFERROR(0+(E22-E31-E40-E11),"待填")</x:f>
        <x:v>0</x:v>
      </x:c>
      <x:c r="F164" s="33" t="n">
        <x:f>IFERROR(0+(F22-F31-F40-F11),"待填")</x:f>
        <x:v>0</x:v>
      </x:c>
      <x:c r="G164" s="33" t="n">
        <x:f>IFERROR(0+(G22-G31-G40-G11),"待填")</x:f>
        <x:v>0</x:v>
      </x:c>
      <x:c r="H164" s="33" t="n">
        <x:f>IFERROR(0+(H22-H31-H40-H11),"待填")</x:f>
        <x:v>0</x:v>
      </x:c>
      <x:c r="I164" s="33" t="n">
        <x:f>IFERROR(0+(I22-I31-I40-I11),"待填")</x:f>
        <x:v>0</x:v>
      </x:c>
      <x:c r="J164" s="33" t="n">
        <x:f>IFERROR(0+(J22-J31-J40-J11),"待填")</x:f>
        <x:v>0</x:v>
      </x:c>
      <x:c r="K164" s="33" t="n">
        <x:f>IFERROR(0+(K22-K31-K40-K11),"待填")</x:f>
        <x:v>0</x:v>
      </x:c>
      <x:c r="L164" s="33" t="n">
        <x:f>IFERROR(0+(L22-L31-L40-L11),"待填")</x:f>
        <x:v>0</x:v>
      </x:c>
      <x:c r="M164" s="33" t="n">
        <x:f>IFERROR(0+(M22-M31-M40-M11),"待填")</x:f>
        <x:v>0</x:v>
      </x:c>
      <x:c r="N164" s="33" t="n">
        <x:f>IFERROR(0+(N22-N31-N40-N11),"待填")</x:f>
        <x:v>0</x:v>
      </x:c>
      <x:c r="O164" s="33" t="n">
        <x:f>IFERROR(0+(O22-O31-O40-O11),"待填")</x:f>
        <x:v>0</x:v>
      </x:c>
      <x:c r="P164" s="33" t="n">
        <x:f>IFERROR(0+(P22-P31-P40-P11),"待填")</x:f>
        <x:v>0</x:v>
      </x:c>
      <x:c r="Q164" s="33" t="n">
        <x:f>IFERROR(0+(Q22-Q31-Q40-Q11),"待填")</x:f>
        <x:v>0</x:v>
      </x:c>
      <x:c r="R164" s="33" t="n">
        <x:f>IFERROR(0+(R22-R31-R40-R11),"待填")</x:f>
        <x:v>0</x:v>
      </x:c>
      <x:c r="S164" s="33" t="n">
        <x:f>IFERROR(0+(S22-S31-S40-S11),"待填")</x:f>
        <x:v>0</x:v>
      </x:c>
      <x:c r="T164" s="33" t="n">
        <x:f>IFERROR(0+(T22-T31-T40-T11),"待填")</x:f>
        <x:v>0</x:v>
      </x:c>
      <x:c r="U164" s="33" t="n">
        <x:f>IFERROR(0+(U22-U31-U40-U11),"待填")</x:f>
        <x:v>0</x:v>
      </x:c>
      <x:c r="V164" s="33" t="n">
        <x:f>IFERROR(0+(V22-V31-V40-V11),"待填")</x:f>
        <x:v>0</x:v>
      </x:c>
      <x:c r="W164" s="33" t="n">
        <x:f>IFERROR(0+(W22-W31-W40-W11),"待填")</x:f>
        <x:v>0</x:v>
      </x:c>
    </x:row>
    <x:row r="165" ht="21" customHeight="1">
      <x:c r="A165" s="2"/>
      <x:c r="B165" s="25" t="str">
        <x:v>【融资租入固定资产】</x:v>
      </x:c>
      <x:c r="C165" s="26" t="str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</x:row>
    <x:row r="166" ht="15.5" customHeight="1">
      <x:c r="A166" s="2"/>
      <x:c r="B166" s="2" t="str">
        <x:v>期初原价（披露）</x:v>
      </x:c>
      <x:c r="C166" s="6" t="str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</x:row>
    <x:row r="167" ht="15.5" customHeight="1">
      <x:c r="A167" s="2"/>
      <x:c r="B167" s="2" t="str">
        <x:v>本期增加（披露）</x:v>
      </x:c>
      <x:c r="C167" s="6" t="str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</x:row>
    <x:row r="168" ht="15.5" customHeight="1">
      <x:c r="A168" s="2"/>
      <x:c r="B168" s="2" t="str">
        <x:v>本期减少（披露）</x:v>
      </x:c>
      <x:c r="C168" s="6" t="str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</x:row>
    <x:row r="169" ht="15.5" customHeight="1">
      <x:c r="A169" s="2"/>
      <x:c r="B169" s="2" t="str">
        <x:v>增加中：外币折算</x:v>
      </x:c>
      <x:c r="C169" s="6" t="str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</x:row>
    <x:row r="170" ht="15.5" customHeight="1">
      <x:c r="A170" s="2"/>
      <x:c r="B170" s="2" t="str">
        <x:v>增加中：企业合并</x:v>
      </x:c>
      <x:c r="C170" s="6" t="str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</x:row>
    <x:row r="171" ht="15.5" customHeight="1">
      <x:c r="A171" s="2"/>
      <x:c r="B171" s="2" t="str">
        <x:v>期初重分类 / 口径调整</x:v>
      </x:c>
      <x:c r="C171" s="6" t="str"/>
      <x:c r="D171" s="4"/>
      <x:c r="E171" s="4" t="n">
        <x:f>IFERROR(0+(E166-D23),"待填")</x:f>
        <x:v>0</x:v>
      </x:c>
      <x:c r="F171" s="4" t="n">
        <x:f>IFERROR(0+(F166-E23),"待填")</x:f>
        <x:v>0</x:v>
      </x:c>
      <x:c r="G171" s="4" t="n">
        <x:f>IFERROR(0+(G166-F23),"待填")</x:f>
        <x:v>0</x:v>
      </x:c>
      <x:c r="H171" s="4" t="n">
        <x:f>IFERROR(0+(H166-G23),"待填")</x:f>
        <x:v>0</x:v>
      </x:c>
      <x:c r="I171" s="4" t="n">
        <x:f>IFERROR(0+(I166-H23),"待填")</x:f>
        <x:v>0</x:v>
      </x:c>
      <x:c r="J171" s="4" t="n">
        <x:f>IFERROR(0+(J166-I23),"待填")</x:f>
        <x:v>0</x:v>
      </x:c>
      <x:c r="K171" s="4" t="n">
        <x:f>IFERROR(0+(K166-J23),"待填")</x:f>
        <x:v>0</x:v>
      </x:c>
      <x:c r="L171" s="4" t="n">
        <x:f>IFERROR(0+(L166-K23),"待填")</x:f>
        <x:v>0</x:v>
      </x:c>
      <x:c r="M171" s="4" t="n">
        <x:f>IFERROR(0+(M166-L23),"待填")</x:f>
        <x:v>0</x:v>
      </x:c>
      <x:c r="N171" s="4" t="n">
        <x:f>IFERROR(0+(N166-M23),"待填")</x:f>
        <x:v>0</x:v>
      </x:c>
      <x:c r="O171" s="4" t="n">
        <x:f>IFERROR(0+(O166-N23),"待填")</x:f>
        <x:v>0</x:v>
      </x:c>
      <x:c r="P171" s="4" t="n">
        <x:f>IFERROR(0+(P166-O23),"待填")</x:f>
        <x:v>0</x:v>
      </x:c>
      <x:c r="Q171" s="4" t="n">
        <x:f>IFERROR(0+(Q166-P23),"待填")</x:f>
        <x:v>0</x:v>
      </x:c>
      <x:c r="R171" s="4" t="n">
        <x:f>IFERROR(0+(R166-Q23),"待填")</x:f>
        <x:v>0</x:v>
      </x:c>
      <x:c r="S171" s="4" t="n">
        <x:f>IFERROR(0+(S166-R23),"待填")</x:f>
        <x:v>0</x:v>
      </x:c>
      <x:c r="T171" s="4" t="n">
        <x:f>IFERROR(0+(T166-S23),"待填")</x:f>
        <x:v>0</x:v>
      </x:c>
      <x:c r="U171" s="4"/>
      <x:c r="V171" s="4"/>
      <x:c r="W171" s="4"/>
    </x:row>
    <x:row r="172" ht="15.5" customHeight="1">
      <x:c r="A172" s="2"/>
      <x:c r="B172" s="29" t="str">
        <x:v>原价滚动校验</x:v>
      </x:c>
      <x:c r="C172" s="32" t="str"/>
      <x:c r="D172" s="33"/>
      <x:c r="E172" s="33" t="n">
        <x:f>IFERROR(0+(E166+E167-E168-E23),"待填")</x:f>
        <x:v>0</x:v>
      </x:c>
      <x:c r="F172" s="33" t="n">
        <x:f>IFERROR(0+(F166+F167-F168-F23),"待填")</x:f>
        <x:v>0</x:v>
      </x:c>
      <x:c r="G172" s="33" t="n">
        <x:f>IFERROR(0+(G166+G167-G168-G23),"待填")</x:f>
        <x:v>0</x:v>
      </x:c>
      <x:c r="H172" s="33" t="n">
        <x:f>IFERROR(0+(H166+H167-H168-H23),"待填")</x:f>
        <x:v>0</x:v>
      </x:c>
      <x:c r="I172" s="33" t="n">
        <x:f>IFERROR(0+(I166+I167-I168-I23),"待填")</x:f>
        <x:v>0</x:v>
      </x:c>
      <x:c r="J172" s="33" t="n">
        <x:f>IFERROR(0+(J166+J167-J168-J23),"待填")</x:f>
        <x:v>0</x:v>
      </x:c>
      <x:c r="K172" s="33" t="n">
        <x:f>IFERROR(0+(K166+K167-K168-K23),"待填")</x:f>
        <x:v>0</x:v>
      </x:c>
      <x:c r="L172" s="33" t="n">
        <x:f>IFERROR(0+(L166+L167-L168-L23),"待填")</x:f>
        <x:v>0</x:v>
      </x:c>
      <x:c r="M172" s="33" t="n">
        <x:f>IFERROR(0+(M166+M167-M168-M23),"待填")</x:f>
        <x:v>0</x:v>
      </x:c>
      <x:c r="N172" s="33" t="n">
        <x:f>IFERROR(0+(N166+N167-N168-N23),"待填")</x:f>
        <x:v>0</x:v>
      </x:c>
      <x:c r="O172" s="33" t="n">
        <x:f>IFERROR(0+(O166+O167-O168-O23),"待填")</x:f>
        <x:v>0</x:v>
      </x:c>
      <x:c r="P172" s="33" t="n">
        <x:f>IFERROR(0+(P166+P167-P168-P23),"待填")</x:f>
        <x:v>0</x:v>
      </x:c>
      <x:c r="Q172" s="33" t="n">
        <x:f>IFERROR(0+(Q166+Q167-Q168-Q23),"待填")</x:f>
        <x:v>0</x:v>
      </x:c>
      <x:c r="R172" s="33" t="n">
        <x:f>IFERROR(0+(R166+R167-R168-R23),"待填")</x:f>
        <x:v>0</x:v>
      </x:c>
      <x:c r="S172" s="33" t="n">
        <x:f>IFERROR(0+(S166+S167-S168-S23),"待填")</x:f>
        <x:v>0</x:v>
      </x:c>
      <x:c r="T172" s="33" t="n">
        <x:f>IFERROR(0+(T166+T167-T168-T23),"待填")</x:f>
        <x:v>0</x:v>
      </x:c>
      <x:c r="U172" s="33"/>
      <x:c r="V172" s="33"/>
      <x:c r="W172" s="33"/>
    </x:row>
    <x:row r="173" ht="15.5" customHeight="1">
      <x:c r="A173" s="2"/>
      <x:c r="B173" s="29" t="str">
        <x:v>净值计算校验</x:v>
      </x:c>
      <x:c r="C173" s="32" t="str"/>
      <x:c r="D173" s="33" t="n">
        <x:f>IFERROR(0+(D23-D32-D41-D12),"待填")</x:f>
        <x:v>0</x:v>
      </x:c>
      <x:c r="E173" s="33" t="n">
        <x:f>IFERROR(0+(E23-E32-E41-E12),"待填")</x:f>
        <x:v>0</x:v>
      </x:c>
      <x:c r="F173" s="33" t="n">
        <x:f>IFERROR(0+(F23-F32-F41-F12),"待填")</x:f>
        <x:v>0</x:v>
      </x:c>
      <x:c r="G173" s="33" t="n">
        <x:f>IFERROR(0+(G23-G32-G41-G12),"待填")</x:f>
        <x:v>0</x:v>
      </x:c>
      <x:c r="H173" s="33" t="n">
        <x:f>IFERROR(0+(H23-H32-H41-H12),"待填")</x:f>
        <x:v>0</x:v>
      </x:c>
      <x:c r="I173" s="33" t="n">
        <x:f>IFERROR(0+(I23-I32-I41-I12),"待填")</x:f>
        <x:v>0</x:v>
      </x:c>
      <x:c r="J173" s="33" t="n">
        <x:f>IFERROR(0+(J23-J32-J41-J12),"待填")</x:f>
        <x:v>0</x:v>
      </x:c>
      <x:c r="K173" s="33" t="n">
        <x:f>IFERROR(0+(K23-K32-K41-K12),"待填")</x:f>
        <x:v>0</x:v>
      </x:c>
      <x:c r="L173" s="33" t="n">
        <x:f>IFERROR(0+(L23-L32-L41-L12),"待填")</x:f>
        <x:v>0</x:v>
      </x:c>
      <x:c r="M173" s="33" t="n">
        <x:f>IFERROR(0+(M23-M32-M41-M12),"待填")</x:f>
        <x:v>0</x:v>
      </x:c>
      <x:c r="N173" s="33" t="n">
        <x:f>IFERROR(0+(N23-N32-N41-N12),"待填")</x:f>
        <x:v>0</x:v>
      </x:c>
      <x:c r="O173" s="33" t="n">
        <x:f>IFERROR(0+(O23-O32-O41-O12),"待填")</x:f>
        <x:v>0</x:v>
      </x:c>
      <x:c r="P173" s="33" t="n">
        <x:f>IFERROR(0+(P23-P32-P41-P12),"待填")</x:f>
        <x:v>0</x:v>
      </x:c>
      <x:c r="Q173" s="33" t="n">
        <x:f>IFERROR(0+(Q23-Q32-Q41-Q12),"待填")</x:f>
        <x:v>0</x:v>
      </x:c>
      <x:c r="R173" s="33" t="n">
        <x:f>IFERROR(0+(R23-R32-R41-R12),"待填")</x:f>
        <x:v>0</x:v>
      </x:c>
      <x:c r="S173" s="33" t="n">
        <x:f>IFERROR(0+(S23-S32-S41-S12),"待填")</x:f>
        <x:v>0</x:v>
      </x:c>
      <x:c r="T173" s="33" t="n">
        <x:f>IFERROR(0+(T23-T32-T41-T12),"待填")</x:f>
        <x:v>0</x:v>
      </x:c>
      <x:c r="U173" s="33" t="n">
        <x:f>IFERROR(0+(U23-U32-U41-U12),"待填")</x:f>
        <x:v>0</x:v>
      </x:c>
      <x:c r="V173" s="33" t="n">
        <x:f>IFERROR(0+(V23-V32-V41-V12),"待填")</x:f>
        <x:v>0</x:v>
      </x:c>
      <x:c r="W173" s="33" t="n">
        <x:f>IFERROR(0+(W23-W32-W41-W12),"待填")</x:f>
        <x:v>0</x:v>
      </x:c>
    </x:row>
    <x:row r="174" ht="21" customHeight="1">
      <x:c r="A174" s="2"/>
      <x:c r="B174" s="25" t="str">
        <x:v>【电子设备】</x:v>
      </x:c>
      <x:c r="C174" s="26" t="str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</x:row>
    <x:row r="175" ht="15.5" customHeight="1">
      <x:c r="A175" s="2"/>
      <x:c r="B175" s="2" t="str">
        <x:v>期初原价（披露）</x:v>
      </x:c>
      <x:c r="C175" s="6" t="str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</x:row>
    <x:row r="176" ht="15.5" customHeight="1">
      <x:c r="A176" s="2"/>
      <x:c r="B176" s="2" t="str">
        <x:v>本期增加（披露）</x:v>
      </x:c>
      <x:c r="C176" s="6" t="str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</x:row>
    <x:row r="177" ht="15.5" customHeight="1">
      <x:c r="A177" s="2"/>
      <x:c r="B177" s="2" t="str">
        <x:v>本期减少（披露）</x:v>
      </x:c>
      <x:c r="C177" s="6" t="str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</x:row>
    <x:row r="178" ht="15.5" customHeight="1">
      <x:c r="A178" s="2"/>
      <x:c r="B178" s="2" t="str">
        <x:v>增加中：外币折算</x:v>
      </x:c>
      <x:c r="C178" s="6" t="str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</x:row>
    <x:row r="179" ht="15.5" customHeight="1">
      <x:c r="A179" s="2"/>
      <x:c r="B179" s="2" t="str">
        <x:v>增加中：企业合并</x:v>
      </x:c>
      <x:c r="C179" s="6" t="str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</x:row>
    <x:row r="180" ht="15.5" customHeight="1">
      <x:c r="A180" s="2"/>
      <x:c r="B180" s="2" t="str">
        <x:v>期初重分类 / 口径调整</x:v>
      </x:c>
      <x:c r="C180" s="6" t="str"/>
      <x:c r="D180" s="4"/>
      <x:c r="E180" s="4" t="n">
        <x:f>IFERROR(0+(E175-D24),"待填")</x:f>
        <x:v>0</x:v>
      </x:c>
      <x:c r="F180" s="4" t="n">
        <x:f>IFERROR(0+(F175-E24),"待填")</x:f>
        <x:v>0</x:v>
      </x:c>
      <x:c r="G180" s="4" t="n">
        <x:f>IFERROR(0+(G175-F24),"待填")</x:f>
        <x:v>0</x:v>
      </x:c>
      <x:c r="H180" s="4" t="n">
        <x:f>IFERROR(0+(H175-G24),"待填")</x:f>
        <x:v>0</x:v>
      </x:c>
      <x:c r="I180" s="4" t="n">
        <x:f>IFERROR(0+(I175-H24),"待填")</x:f>
        <x:v>0</x:v>
      </x:c>
      <x:c r="J180" s="4" t="n">
        <x:f>IFERROR(0+(J175-I24),"待填")</x:f>
        <x:v>0</x:v>
      </x:c>
      <x:c r="K180" s="4" t="n">
        <x:f>IFERROR(0+(K175-J24),"待填")</x:f>
        <x:v>0</x:v>
      </x:c>
      <x:c r="L180" s="4" t="n">
        <x:f>IFERROR(0+(L175-K24),"待填")</x:f>
        <x:v>0</x:v>
      </x:c>
      <x:c r="M180" s="4" t="n">
        <x:f>IFERROR(0+(M175-L24),"待填")</x:f>
        <x:v>0</x:v>
      </x:c>
      <x:c r="N180" s="4" t="n">
        <x:f>IFERROR(0+(N175-M24),"待填")</x:f>
        <x:v>0</x:v>
      </x:c>
      <x:c r="O180" s="4" t="n">
        <x:f>IFERROR(0+(O175-N24),"待填")</x:f>
        <x:v>0</x:v>
      </x:c>
      <x:c r="P180" s="4" t="n">
        <x:f>IFERROR(0+(P175-O24),"待填")</x:f>
        <x:v>0</x:v>
      </x:c>
      <x:c r="Q180" s="4" t="n">
        <x:f>IFERROR(0+(Q175-P24),"待填")</x:f>
        <x:v>0</x:v>
      </x:c>
      <x:c r="R180" s="4" t="n">
        <x:f>IFERROR(0+(R175-Q24),"待填")</x:f>
        <x:v>0</x:v>
      </x:c>
      <x:c r="S180" s="4" t="n">
        <x:f>IFERROR(0+(S175-R24),"待填")</x:f>
        <x:v>0</x:v>
      </x:c>
      <x:c r="T180" s="4" t="n">
        <x:f>IFERROR(0+(T175-S24),"待填")</x:f>
        <x:v>0</x:v>
      </x:c>
      <x:c r="U180" s="4"/>
      <x:c r="V180" s="4"/>
      <x:c r="W180" s="4"/>
    </x:row>
    <x:row r="181" ht="15.5" customHeight="1">
      <x:c r="A181" s="2"/>
      <x:c r="B181" s="29" t="str">
        <x:v>原价滚动校验</x:v>
      </x:c>
      <x:c r="C181" s="32" t="str"/>
      <x:c r="D181" s="33"/>
      <x:c r="E181" s="33" t="n">
        <x:f>IFERROR(0+(E175+E176-E177-E24),"待填")</x:f>
        <x:v>0</x:v>
      </x:c>
      <x:c r="F181" s="33" t="n">
        <x:f>IFERROR(0+(F175+F176-F177-F24),"待填")</x:f>
        <x:v>0</x:v>
      </x:c>
      <x:c r="G181" s="33" t="n">
        <x:f>IFERROR(0+(G175+G176-G177-G24),"待填")</x:f>
        <x:v>0</x:v>
      </x:c>
      <x:c r="H181" s="33" t="n">
        <x:f>IFERROR(0+(H175+H176-H177-H24),"待填")</x:f>
        <x:v>0</x:v>
      </x:c>
      <x:c r="I181" s="33" t="n">
        <x:f>IFERROR(0+(I175+I176-I177-I24),"待填")</x:f>
        <x:v>0</x:v>
      </x:c>
      <x:c r="J181" s="33" t="n">
        <x:f>IFERROR(0+(J175+J176-J177-J24),"待填")</x:f>
        <x:v>0</x:v>
      </x:c>
      <x:c r="K181" s="33" t="n">
        <x:f>IFERROR(0+(K175+K176-K177-K24),"待填")</x:f>
        <x:v>0</x:v>
      </x:c>
      <x:c r="L181" s="33" t="n">
        <x:f>IFERROR(0+(L175+L176-L177-L24),"待填")</x:f>
        <x:v>0</x:v>
      </x:c>
      <x:c r="M181" s="33" t="n">
        <x:f>IFERROR(0+(M175+M176-M177-M24),"待填")</x:f>
        <x:v>0</x:v>
      </x:c>
      <x:c r="N181" s="33" t="n">
        <x:f>IFERROR(0+(N175+N176-N177-N24),"待填")</x:f>
        <x:v>0</x:v>
      </x:c>
      <x:c r="O181" s="33" t="n">
        <x:f>IFERROR(0+(O175+O176-O177-O24),"待填")</x:f>
        <x:v>0</x:v>
      </x:c>
      <x:c r="P181" s="33" t="n">
        <x:f>IFERROR(0+(P175+P176-P177-P24),"待填")</x:f>
        <x:v>0</x:v>
      </x:c>
      <x:c r="Q181" s="33" t="n">
        <x:f>IFERROR(0+(Q175+Q176-Q177-Q24),"待填")</x:f>
        <x:v>0</x:v>
      </x:c>
      <x:c r="R181" s="33" t="n">
        <x:f>IFERROR(0+(R175+R176-R177-R24),"待填")</x:f>
        <x:v>0</x:v>
      </x:c>
      <x:c r="S181" s="33" t="n">
        <x:f>IFERROR(0+(S175+S176-S177-S24),"待填")</x:f>
        <x:v>0</x:v>
      </x:c>
      <x:c r="T181" s="33" t="n">
        <x:f>IFERROR(0+(T175+T176-T177-T24),"待填")</x:f>
        <x:v>0</x:v>
      </x:c>
      <x:c r="U181" s="33"/>
      <x:c r="V181" s="33"/>
      <x:c r="W181" s="33"/>
    </x:row>
    <x:row r="182" ht="15.5" customHeight="1">
      <x:c r="A182" s="2"/>
      <x:c r="B182" s="29" t="str">
        <x:v>净值计算校验</x:v>
      </x:c>
      <x:c r="C182" s="32" t="str"/>
      <x:c r="D182" s="33" t="n">
        <x:f>IFERROR(0+(D24-D33-D42-D13),"待填")</x:f>
        <x:v>0</x:v>
      </x:c>
      <x:c r="E182" s="33" t="n">
        <x:f>IFERROR(0+(E24-E33-E42-E13),"待填")</x:f>
        <x:v>0</x:v>
      </x:c>
      <x:c r="F182" s="33" t="n">
        <x:f>IFERROR(0+(F24-F33-F42-F13),"待填")</x:f>
        <x:v>0</x:v>
      </x:c>
      <x:c r="G182" s="33" t="n">
        <x:f>IFERROR(0+(G24-G33-G42-G13),"待填")</x:f>
        <x:v>0</x:v>
      </x:c>
      <x:c r="H182" s="33" t="n">
        <x:f>IFERROR(0+(H24-H33-H42-H13),"待填")</x:f>
        <x:v>0</x:v>
      </x:c>
      <x:c r="I182" s="33" t="n">
        <x:f>IFERROR(0+(I24-I33-I42-I13),"待填")</x:f>
        <x:v>0</x:v>
      </x:c>
      <x:c r="J182" s="33" t="n">
        <x:f>IFERROR(0+(J24-J33-J42-J13),"待填")</x:f>
        <x:v>0</x:v>
      </x:c>
      <x:c r="K182" s="33" t="n">
        <x:f>IFERROR(0+(K24-K33-K42-K13),"待填")</x:f>
        <x:v>0</x:v>
      </x:c>
      <x:c r="L182" s="33" t="n">
        <x:f>IFERROR(0+(L24-L33-L42-L13),"待填")</x:f>
        <x:v>0</x:v>
      </x:c>
      <x:c r="M182" s="33" t="n">
        <x:f>IFERROR(0+(M24-M33-M42-M13),"待填")</x:f>
        <x:v>0</x:v>
      </x:c>
      <x:c r="N182" s="33" t="n">
        <x:f>IFERROR(0+(N24-N33-N42-N13),"待填")</x:f>
        <x:v>0</x:v>
      </x:c>
      <x:c r="O182" s="33" t="n">
        <x:f>IFERROR(0+(O24-O33-O42-O13),"待填")</x:f>
        <x:v>0</x:v>
      </x:c>
      <x:c r="P182" s="33" t="n">
        <x:f>IFERROR(0+(P24-P33-P42-P13),"待填")</x:f>
        <x:v>0</x:v>
      </x:c>
      <x:c r="Q182" s="33" t="n">
        <x:f>IFERROR(0+(Q24-Q33-Q42-Q13),"待填")</x:f>
        <x:v>0</x:v>
      </x:c>
      <x:c r="R182" s="33" t="n">
        <x:f>IFERROR(0+(R24-R33-R42-R13),"待填")</x:f>
        <x:v>0</x:v>
      </x:c>
      <x:c r="S182" s="33" t="n">
        <x:f>IFERROR(0+(S24-S33-S42-S13),"待填")</x:f>
        <x:v>0</x:v>
      </x:c>
      <x:c r="T182" s="33" t="n">
        <x:f>IFERROR(0+(T24-T33-T42-T13),"待填")</x:f>
        <x:v>0</x:v>
      </x:c>
      <x:c r="U182" s="33" t="n">
        <x:f>IFERROR(0+(U24-U33-U42-U13),"待填")</x:f>
        <x:v>0</x:v>
      </x:c>
      <x:c r="V182" s="33" t="n">
        <x:f>IFERROR(0+(V24-V33-V42-V13),"待填")</x:f>
        <x:v>0</x:v>
      </x:c>
      <x:c r="W182" s="33" t="n">
        <x:f>IFERROR(0+(W24-W33-W42-W13),"待填")</x:f>
        <x:v>0</x:v>
      </x:c>
    </x:row>
    <x:row r="183" ht="21" customHeight="1">
      <x:c r="A183" s="2"/>
      <x:c r="B183" s="25" t="str">
        <x:v>累计折摊滚动（历史原始披露）</x:v>
      </x:c>
      <x:c r="C183" s="26" t="str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</x:row>
    <x:row r="184" ht="21" customHeight="1">
      <x:c r="A184" s="2"/>
      <x:c r="B184" s="25" t="str">
        <x:v>【房屋及建筑物】</x:v>
      </x:c>
      <x:c r="C184" s="26" t="str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</x:row>
    <x:row r="185" ht="15.5" customHeight="1">
      <x:c r="A185" s="2"/>
      <x:c r="B185" s="2" t="str">
        <x:v>期初累计折摊</x:v>
      </x:c>
      <x:c r="C185" s="6" t="str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</x:row>
    <x:row r="186" ht="15.5" customHeight="1">
      <x:c r="A186" s="2"/>
      <x:c r="B186" s="2" t="str">
        <x:v>本期增加（含计提/转入/折算）</x:v>
      </x:c>
      <x:c r="C186" s="6" t="str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</x:row>
    <x:row r="187" ht="15.5" customHeight="1">
      <x:c r="A187" s="2"/>
      <x:c r="B187" s="2" t="str">
        <x:v>本期减少</x:v>
      </x:c>
      <x:c r="C187" s="6" t="str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</x:row>
    <x:row r="188" ht="15.5" customHeight="1">
      <x:c r="A188" s="2"/>
      <x:c r="B188" s="29" t="str">
        <x:v>累计折摊滚动校验</x:v>
      </x:c>
      <x:c r="C188" s="32" t="str"/>
      <x:c r="D188" s="33"/>
      <x:c r="E188" s="33" t="n">
        <x:f>IFERROR(0+(E185+E186-E187-E27),"待填")</x:f>
        <x:v>0</x:v>
      </x:c>
      <x:c r="F188" s="33" t="n">
        <x:f>IFERROR(0+(F185+F186-F187-F27),"待填")</x:f>
        <x:v>0</x:v>
      </x:c>
      <x:c r="G188" s="33" t="n">
        <x:f>IFERROR(0+(G185+G186-G187-G27),"待填")</x:f>
        <x:v>0</x:v>
      </x:c>
      <x:c r="H188" s="33" t="n">
        <x:f>IFERROR(0+(H185+H186-H187-H27),"待填")</x:f>
        <x:v>0</x:v>
      </x:c>
      <x:c r="I188" s="33" t="n">
        <x:f>IFERROR(0+(I185+I186-I187-I27),"待填")</x:f>
        <x:v>0</x:v>
      </x:c>
      <x:c r="J188" s="33" t="n">
        <x:f>IFERROR(0+(J185+J186-J187-J27),"待填")</x:f>
        <x:v>0</x:v>
      </x:c>
      <x:c r="K188" s="33" t="n">
        <x:f>IFERROR(0+(K185+K186-K187-K27),"待填")</x:f>
        <x:v>0</x:v>
      </x:c>
      <x:c r="L188" s="33" t="n">
        <x:f>IFERROR(0+(L185+L186-L187-L27),"待填")</x:f>
        <x:v>0</x:v>
      </x:c>
      <x:c r="M188" s="33" t="n">
        <x:f>IFERROR(0+(M185+M186-M187-M27),"待填")</x:f>
        <x:v>0</x:v>
      </x:c>
      <x:c r="N188" s="33" t="n">
        <x:f>IFERROR(0+(N185+N186-N187-N27),"待填")</x:f>
        <x:v>0</x:v>
      </x:c>
      <x:c r="O188" s="33" t="n">
        <x:f>IFERROR(0+(O185+O186-O187-O27),"待填")</x:f>
        <x:v>0</x:v>
      </x:c>
      <x:c r="P188" s="33" t="n">
        <x:f>IFERROR(0+(P185+P186-P187-P27),"待填")</x:f>
        <x:v>0</x:v>
      </x:c>
      <x:c r="Q188" s="33" t="n">
        <x:f>IFERROR(0+(Q185+Q186-Q187-Q27),"待填")</x:f>
        <x:v>0</x:v>
      </x:c>
      <x:c r="R188" s="33" t="n">
        <x:f>IFERROR(0+(R185+R186-R187-R27),"待填")</x:f>
        <x:v>0</x:v>
      </x:c>
      <x:c r="S188" s="33" t="n">
        <x:f>IFERROR(0+(S185+S186-S187-S27),"待填")</x:f>
        <x:v>0</x:v>
      </x:c>
      <x:c r="T188" s="33" t="n">
        <x:f>IFERROR(0+(T185+T186-T187-T27),"待填")</x:f>
        <x:v>0</x:v>
      </x:c>
      <x:c r="U188" s="33"/>
      <x:c r="V188" s="33"/>
      <x:c r="W188" s="33"/>
    </x:row>
    <x:row r="189" ht="21" customHeight="1">
      <x:c r="A189" s="2"/>
      <x:c r="B189" s="25" t="str">
        <x:v>【通用设备】</x:v>
      </x:c>
      <x:c r="C189" s="26" t="str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</x:row>
    <x:row r="190" ht="15.5" customHeight="1">
      <x:c r="A190" s="2"/>
      <x:c r="B190" s="2" t="str">
        <x:v>期初累计折摊</x:v>
      </x:c>
      <x:c r="C190" s="6" t="str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</x:row>
    <x:row r="191" ht="15.5" customHeight="1">
      <x:c r="A191" s="2"/>
      <x:c r="B191" s="2" t="str">
        <x:v>本期增加（含计提/转入/折算）</x:v>
      </x:c>
      <x:c r="C191" s="6" t="str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</x:row>
    <x:row r="192" ht="15.5" customHeight="1">
      <x:c r="A192" s="2"/>
      <x:c r="B192" s="2" t="str">
        <x:v>本期减少</x:v>
      </x:c>
      <x:c r="C192" s="6" t="str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</x:row>
    <x:row r="193" ht="15.5" customHeight="1">
      <x:c r="A193" s="2"/>
      <x:c r="B193" s="29" t="str">
        <x:v>累计折摊滚动校验</x:v>
      </x:c>
      <x:c r="C193" s="32" t="str"/>
      <x:c r="D193" s="33"/>
      <x:c r="E193" s="33" t="n">
        <x:f>IFERROR(0+(E190+E191-E192-E28),"待填")</x:f>
        <x:v>0</x:v>
      </x:c>
      <x:c r="F193" s="33" t="n">
        <x:f>IFERROR(0+(F190+F191-F192-F28),"待填")</x:f>
        <x:v>0</x:v>
      </x:c>
      <x:c r="G193" s="33" t="n">
        <x:f>IFERROR(0+(G190+G191-G192-G28),"待填")</x:f>
        <x:v>0</x:v>
      </x:c>
      <x:c r="H193" s="33" t="n">
        <x:f>IFERROR(0+(H190+H191-H192-H28),"待填")</x:f>
        <x:v>0</x:v>
      </x:c>
      <x:c r="I193" s="33" t="n">
        <x:f>IFERROR(0+(I190+I191-I192-I28),"待填")</x:f>
        <x:v>0</x:v>
      </x:c>
      <x:c r="J193" s="33" t="n">
        <x:f>IFERROR(0+(J190+J191-J192-J28),"待填")</x:f>
        <x:v>0</x:v>
      </x:c>
      <x:c r="K193" s="33" t="n">
        <x:f>IFERROR(0+(K190+K191-K192-K28),"待填")</x:f>
        <x:v>0</x:v>
      </x:c>
      <x:c r="L193" s="33" t="n">
        <x:f>IFERROR(0+(L190+L191-L192-L28),"待填")</x:f>
        <x:v>0</x:v>
      </x:c>
      <x:c r="M193" s="33" t="n">
        <x:f>IFERROR(0+(M190+M191-M192-M28),"待填")</x:f>
        <x:v>0</x:v>
      </x:c>
      <x:c r="N193" s="33" t="n">
        <x:f>IFERROR(0+(N190+N191-N192-N28),"待填")</x:f>
        <x:v>0</x:v>
      </x:c>
      <x:c r="O193" s="33" t="n">
        <x:f>IFERROR(0+(O190+O191-O192-O28),"待填")</x:f>
        <x:v>0</x:v>
      </x:c>
      <x:c r="P193" s="33" t="n">
        <x:f>IFERROR(0+(P190+P191-P192-P28),"待填")</x:f>
        <x:v>0</x:v>
      </x:c>
      <x:c r="Q193" s="33" t="n">
        <x:f>IFERROR(0+(Q190+Q191-Q192-Q28),"待填")</x:f>
        <x:v>0</x:v>
      </x:c>
      <x:c r="R193" s="33" t="n">
        <x:f>IFERROR(0+(R190+R191-R192-R28),"待填")</x:f>
        <x:v>0</x:v>
      </x:c>
      <x:c r="S193" s="33" t="n">
        <x:f>IFERROR(0+(S190+S191-S192-S28),"待填")</x:f>
        <x:v>0</x:v>
      </x:c>
      <x:c r="T193" s="33" t="n">
        <x:f>IFERROR(0+(T190+T191-T192-T28),"待填")</x:f>
        <x:v>0</x:v>
      </x:c>
      <x:c r="U193" s="33"/>
      <x:c r="V193" s="33"/>
      <x:c r="W193" s="33"/>
    </x:row>
    <x:row r="194" ht="21" customHeight="1">
      <x:c r="A194" s="2"/>
      <x:c r="B194" s="25" t="str">
        <x:v>【专用设备】</x:v>
      </x:c>
      <x:c r="C194" s="26" t="str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</x:row>
    <x:row r="195" ht="15.5" customHeight="1">
      <x:c r="A195" s="2"/>
      <x:c r="B195" s="2" t="str">
        <x:v>期初累计折摊</x:v>
      </x:c>
      <x:c r="C195" s="6" t="str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</x:row>
    <x:row r="196" ht="15.5" customHeight="1">
      <x:c r="A196" s="2"/>
      <x:c r="B196" s="2" t="str">
        <x:v>本期增加（含计提/转入/折算）</x:v>
      </x:c>
      <x:c r="C196" s="6" t="str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</x:row>
    <x:row r="197" ht="15.5" customHeight="1">
      <x:c r="A197" s="2"/>
      <x:c r="B197" s="2" t="str">
        <x:v>本期减少</x:v>
      </x:c>
      <x:c r="C197" s="6" t="str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</x:row>
    <x:row r="198" ht="15.5" customHeight="1">
      <x:c r="A198" s="2"/>
      <x:c r="B198" s="29" t="str">
        <x:v>累计折摊滚动校验</x:v>
      </x:c>
      <x:c r="C198" s="32" t="str"/>
      <x:c r="D198" s="33"/>
      <x:c r="E198" s="33" t="n">
        <x:f>IFERROR(0+(E195+E196-E197-E29),"待填")</x:f>
        <x:v>0</x:v>
      </x:c>
      <x:c r="F198" s="33" t="n">
        <x:f>IFERROR(0+(F195+F196-F197-F29),"待填")</x:f>
        <x:v>0</x:v>
      </x:c>
      <x:c r="G198" s="33" t="n">
        <x:f>IFERROR(0+(G195+G196-G197-G29),"待填")</x:f>
        <x:v>0</x:v>
      </x:c>
      <x:c r="H198" s="33" t="n">
        <x:f>IFERROR(0+(H195+H196-H197-H29),"待填")</x:f>
        <x:v>0</x:v>
      </x:c>
      <x:c r="I198" s="33" t="n">
        <x:f>IFERROR(0+(I195+I196-I197-I29),"待填")</x:f>
        <x:v>0</x:v>
      </x:c>
      <x:c r="J198" s="33" t="n">
        <x:f>IFERROR(0+(J195+J196-J197-J29),"待填")</x:f>
        <x:v>0</x:v>
      </x:c>
      <x:c r="K198" s="33" t="n">
        <x:f>IFERROR(0+(K195+K196-K197-K29),"待填")</x:f>
        <x:v>0</x:v>
      </x:c>
      <x:c r="L198" s="33" t="n">
        <x:f>IFERROR(0+(L195+L196-L197-L29),"待填")</x:f>
        <x:v>0</x:v>
      </x:c>
      <x:c r="M198" s="33" t="n">
        <x:f>IFERROR(0+(M195+M196-M197-M29),"待填")</x:f>
        <x:v>0</x:v>
      </x:c>
      <x:c r="N198" s="33" t="n">
        <x:f>IFERROR(0+(N195+N196-N197-N29),"待填")</x:f>
        <x:v>0</x:v>
      </x:c>
      <x:c r="O198" s="33" t="n">
        <x:f>IFERROR(0+(O195+O196-O197-O29),"待填")</x:f>
        <x:v>0</x:v>
      </x:c>
      <x:c r="P198" s="33" t="n">
        <x:f>IFERROR(0+(P195+P196-P197-P29),"待填")</x:f>
        <x:v>0</x:v>
      </x:c>
      <x:c r="Q198" s="33" t="n">
        <x:f>IFERROR(0+(Q195+Q196-Q197-Q29),"待填")</x:f>
        <x:v>0</x:v>
      </x:c>
      <x:c r="R198" s="33" t="n">
        <x:f>IFERROR(0+(R195+R196-R197-R29),"待填")</x:f>
        <x:v>0</x:v>
      </x:c>
      <x:c r="S198" s="33" t="n">
        <x:f>IFERROR(0+(S195+S196-S197-S29),"待填")</x:f>
        <x:v>0</x:v>
      </x:c>
      <x:c r="T198" s="33" t="n">
        <x:f>IFERROR(0+(T195+T196-T197-T29),"待填")</x:f>
        <x:v>0</x:v>
      </x:c>
      <x:c r="U198" s="33"/>
      <x:c r="V198" s="33"/>
      <x:c r="W198" s="33"/>
    </x:row>
    <x:row r="199" ht="21" customHeight="1">
      <x:c r="A199" s="2"/>
      <x:c r="B199" s="25" t="str">
        <x:v>【机器设备】</x:v>
      </x:c>
      <x:c r="C199" s="26" t="str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</x:row>
    <x:row r="200" ht="15.5" customHeight="1">
      <x:c r="A200" s="2"/>
      <x:c r="B200" s="2" t="str">
        <x:v>期初累计折摊</x:v>
      </x:c>
      <x:c r="C200" s="6" t="str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</x:row>
    <x:row r="201" ht="15.5" customHeight="1">
      <x:c r="A201" s="2"/>
      <x:c r="B201" s="2" t="str">
        <x:v>本期增加（含计提/转入/折算）</x:v>
      </x:c>
      <x:c r="C201" s="6" t="str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</x:row>
    <x:row r="202" ht="15.5" customHeight="1">
      <x:c r="A202" s="2"/>
      <x:c r="B202" s="2" t="str">
        <x:v>本期减少</x:v>
      </x:c>
      <x:c r="C202" s="6" t="str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</x:row>
    <x:row r="203" ht="15.5" customHeight="1">
      <x:c r="A203" s="2"/>
      <x:c r="B203" s="29" t="str">
        <x:v>累计折摊滚动校验</x:v>
      </x:c>
      <x:c r="C203" s="32" t="str"/>
      <x:c r="D203" s="33"/>
      <x:c r="E203" s="33" t="n">
        <x:f>IFERROR(0+(E200+E201-E202-E30),"待填")</x:f>
        <x:v>0</x:v>
      </x:c>
      <x:c r="F203" s="33" t="n">
        <x:f>IFERROR(0+(F200+F201-F202-F30),"待填")</x:f>
        <x:v>0</x:v>
      </x:c>
      <x:c r="G203" s="33" t="n">
        <x:f>IFERROR(0+(G200+G201-G202-G30),"待填")</x:f>
        <x:v>0</x:v>
      </x:c>
      <x:c r="H203" s="33" t="n">
        <x:f>IFERROR(0+(H200+H201-H202-H30),"待填")</x:f>
        <x:v>0</x:v>
      </x:c>
      <x:c r="I203" s="33" t="n">
        <x:f>IFERROR(0+(I200+I201-I202-I30),"待填")</x:f>
        <x:v>0</x:v>
      </x:c>
      <x:c r="J203" s="33" t="n">
        <x:f>IFERROR(0+(J200+J201-J202-J30),"待填")</x:f>
        <x:v>0</x:v>
      </x:c>
      <x:c r="K203" s="33" t="n">
        <x:f>IFERROR(0+(K200+K201-K202-K30),"待填")</x:f>
        <x:v>0</x:v>
      </x:c>
      <x:c r="L203" s="33" t="n">
        <x:f>IFERROR(0+(L200+L201-L202-L30),"待填")</x:f>
        <x:v>0</x:v>
      </x:c>
      <x:c r="M203" s="33" t="n">
        <x:f>IFERROR(0+(M200+M201-M202-M30),"待填")</x:f>
        <x:v>0</x:v>
      </x:c>
      <x:c r="N203" s="33" t="n">
        <x:f>IFERROR(0+(N200+N201-N202-N30),"待填")</x:f>
        <x:v>0</x:v>
      </x:c>
      <x:c r="O203" s="33" t="n">
        <x:f>IFERROR(0+(O200+O201-O202-O30),"待填")</x:f>
        <x:v>0</x:v>
      </x:c>
      <x:c r="P203" s="33" t="n">
        <x:f>IFERROR(0+(P200+P201-P202-P30),"待填")</x:f>
        <x:v>0</x:v>
      </x:c>
      <x:c r="Q203" s="33" t="n">
        <x:f>IFERROR(0+(Q200+Q201-Q202-Q30),"待填")</x:f>
        <x:v>0</x:v>
      </x:c>
      <x:c r="R203" s="33" t="n">
        <x:f>IFERROR(0+(R200+R201-R202-R30),"待填")</x:f>
        <x:v>0</x:v>
      </x:c>
      <x:c r="S203" s="33" t="n">
        <x:f>IFERROR(0+(S200+S201-S202-S30),"待填")</x:f>
        <x:v>0</x:v>
      </x:c>
      <x:c r="T203" s="33" t="n">
        <x:f>IFERROR(0+(T200+T201-T202-T30),"待填")</x:f>
        <x:v>0</x:v>
      </x:c>
      <x:c r="U203" s="33"/>
      <x:c r="V203" s="33"/>
      <x:c r="W203" s="33"/>
    </x:row>
    <x:row r="204" ht="21" customHeight="1">
      <x:c r="A204" s="2"/>
      <x:c r="B204" s="25" t="str">
        <x:v>【运输工具】</x:v>
      </x:c>
      <x:c r="C204" s="26" t="str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</x:row>
    <x:row r="205" ht="15.5" customHeight="1">
      <x:c r="A205" s="2"/>
      <x:c r="B205" s="2" t="str">
        <x:v>期初累计折摊</x:v>
      </x:c>
      <x:c r="C205" s="6" t="str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</x:row>
    <x:row r="206" ht="15.5" customHeight="1">
      <x:c r="A206" s="2"/>
      <x:c r="B206" s="2" t="str">
        <x:v>本期增加（含计提/转入/折算）</x:v>
      </x:c>
      <x:c r="C206" s="6" t="str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</x:row>
    <x:row r="207" ht="15.5" customHeight="1">
      <x:c r="A207" s="2"/>
      <x:c r="B207" s="2" t="str">
        <x:v>本期减少</x:v>
      </x:c>
      <x:c r="C207" s="6" t="str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</x:row>
    <x:row r="208" ht="15.5" customHeight="1">
      <x:c r="A208" s="2"/>
      <x:c r="B208" s="29" t="str">
        <x:v>累计折摊滚动校验</x:v>
      </x:c>
      <x:c r="C208" s="32" t="str"/>
      <x:c r="D208" s="33"/>
      <x:c r="E208" s="33" t="n">
        <x:f>IFERROR(0+(E205+E206-E207-E31),"待填")</x:f>
        <x:v>0</x:v>
      </x:c>
      <x:c r="F208" s="33" t="n">
        <x:f>IFERROR(0+(F205+F206-F207-F31),"待填")</x:f>
        <x:v>0</x:v>
      </x:c>
      <x:c r="G208" s="33" t="n">
        <x:f>IFERROR(0+(G205+G206-G207-G31),"待填")</x:f>
        <x:v>0</x:v>
      </x:c>
      <x:c r="H208" s="33" t="n">
        <x:f>IFERROR(0+(H205+H206-H207-H31),"待填")</x:f>
        <x:v>0</x:v>
      </x:c>
      <x:c r="I208" s="33" t="n">
        <x:f>IFERROR(0+(I205+I206-I207-I31),"待填")</x:f>
        <x:v>0</x:v>
      </x:c>
      <x:c r="J208" s="33" t="n">
        <x:f>IFERROR(0+(J205+J206-J207-J31),"待填")</x:f>
        <x:v>0</x:v>
      </x:c>
      <x:c r="K208" s="33" t="n">
        <x:f>IFERROR(0+(K205+K206-K207-K31),"待填")</x:f>
        <x:v>0</x:v>
      </x:c>
      <x:c r="L208" s="33" t="n">
        <x:f>IFERROR(0+(L205+L206-L207-L31),"待填")</x:f>
        <x:v>0</x:v>
      </x:c>
      <x:c r="M208" s="33" t="n">
        <x:f>IFERROR(0+(M205+M206-M207-M31),"待填")</x:f>
        <x:v>0</x:v>
      </x:c>
      <x:c r="N208" s="33" t="n">
        <x:f>IFERROR(0+(N205+N206-N207-N31),"待填")</x:f>
        <x:v>0</x:v>
      </x:c>
      <x:c r="O208" s="33" t="n">
        <x:f>IFERROR(0+(O205+O206-O207-O31),"待填")</x:f>
        <x:v>0</x:v>
      </x:c>
      <x:c r="P208" s="33" t="n">
        <x:f>IFERROR(0+(P205+P206-P207-P31),"待填")</x:f>
        <x:v>0</x:v>
      </x:c>
      <x:c r="Q208" s="33" t="n">
        <x:f>IFERROR(0+(Q205+Q206-Q207-Q31),"待填")</x:f>
        <x:v>0</x:v>
      </x:c>
      <x:c r="R208" s="33" t="n">
        <x:f>IFERROR(0+(R205+R206-R207-R31),"待填")</x:f>
        <x:v>0</x:v>
      </x:c>
      <x:c r="S208" s="33" t="n">
        <x:f>IFERROR(0+(S205+S206-S207-S31),"待填")</x:f>
        <x:v>0</x:v>
      </x:c>
      <x:c r="T208" s="33" t="n">
        <x:f>IFERROR(0+(T205+T206-T207-T31),"待填")</x:f>
        <x:v>0</x:v>
      </x:c>
      <x:c r="U208" s="33"/>
      <x:c r="V208" s="33"/>
      <x:c r="W208" s="33"/>
    </x:row>
    <x:row r="209" ht="21" customHeight="1">
      <x:c r="A209" s="2"/>
      <x:c r="B209" s="25" t="str">
        <x:v>【融资租入固定资产】</x:v>
      </x:c>
      <x:c r="C209" s="26" t="str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</x:row>
    <x:row r="210" ht="15.5" customHeight="1">
      <x:c r="A210" s="2"/>
      <x:c r="B210" s="2" t="str">
        <x:v>期初累计折摊</x:v>
      </x:c>
      <x:c r="C210" s="6" t="str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</x:row>
    <x:row r="211" ht="15.5" customHeight="1">
      <x:c r="A211" s="2"/>
      <x:c r="B211" s="2" t="str">
        <x:v>本期增加（含计提/转入/折算）</x:v>
      </x:c>
      <x:c r="C211" s="6" t="str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</x:row>
    <x:row r="212" ht="15.5" customHeight="1">
      <x:c r="A212" s="2"/>
      <x:c r="B212" s="2" t="str">
        <x:v>本期减少</x:v>
      </x:c>
      <x:c r="C212" s="6" t="str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</x:row>
    <x:row r="213" ht="15.5" customHeight="1">
      <x:c r="A213" s="2"/>
      <x:c r="B213" s="29" t="str">
        <x:v>累计折摊滚动校验</x:v>
      </x:c>
      <x:c r="C213" s="32" t="str"/>
      <x:c r="D213" s="33"/>
      <x:c r="E213" s="33" t="n">
        <x:f>IFERROR(0+(E210+E211-E212-E32),"待填")</x:f>
        <x:v>0</x:v>
      </x:c>
      <x:c r="F213" s="33" t="n">
        <x:f>IFERROR(0+(F210+F211-F212-F32),"待填")</x:f>
        <x:v>0</x:v>
      </x:c>
      <x:c r="G213" s="33" t="n">
        <x:f>IFERROR(0+(G210+G211-G212-G32),"待填")</x:f>
        <x:v>0</x:v>
      </x:c>
      <x:c r="H213" s="33" t="n">
        <x:f>IFERROR(0+(H210+H211-H212-H32),"待填")</x:f>
        <x:v>0</x:v>
      </x:c>
      <x:c r="I213" s="33" t="n">
        <x:f>IFERROR(0+(I210+I211-I212-I32),"待填")</x:f>
        <x:v>0</x:v>
      </x:c>
      <x:c r="J213" s="33" t="n">
        <x:f>IFERROR(0+(J210+J211-J212-J32),"待填")</x:f>
        <x:v>0</x:v>
      </x:c>
      <x:c r="K213" s="33" t="n">
        <x:f>IFERROR(0+(K210+K211-K212-K32),"待填")</x:f>
        <x:v>0</x:v>
      </x:c>
      <x:c r="L213" s="33" t="n">
        <x:f>IFERROR(0+(L210+L211-L212-L32),"待填")</x:f>
        <x:v>0</x:v>
      </x:c>
      <x:c r="M213" s="33" t="n">
        <x:f>IFERROR(0+(M210+M211-M212-M32),"待填")</x:f>
        <x:v>0</x:v>
      </x:c>
      <x:c r="N213" s="33" t="n">
        <x:f>IFERROR(0+(N210+N211-N212-N32),"待填")</x:f>
        <x:v>0</x:v>
      </x:c>
      <x:c r="O213" s="33" t="n">
        <x:f>IFERROR(0+(O210+O211-O212-O32),"待填")</x:f>
        <x:v>0</x:v>
      </x:c>
      <x:c r="P213" s="33" t="n">
        <x:f>IFERROR(0+(P210+P211-P212-P32),"待填")</x:f>
        <x:v>0</x:v>
      </x:c>
      <x:c r="Q213" s="33" t="n">
        <x:f>IFERROR(0+(Q210+Q211-Q212-Q32),"待填")</x:f>
        <x:v>0</x:v>
      </x:c>
      <x:c r="R213" s="33" t="n">
        <x:f>IFERROR(0+(R210+R211-R212-R32),"待填")</x:f>
        <x:v>0</x:v>
      </x:c>
      <x:c r="S213" s="33" t="n">
        <x:f>IFERROR(0+(S210+S211-S212-S32),"待填")</x:f>
        <x:v>0</x:v>
      </x:c>
      <x:c r="T213" s="33" t="n">
        <x:f>IFERROR(0+(T210+T211-T212-T32),"待填")</x:f>
        <x:v>0</x:v>
      </x:c>
      <x:c r="U213" s="33"/>
      <x:c r="V213" s="33"/>
      <x:c r="W213" s="33"/>
    </x:row>
    <x:row r="214" ht="21" customHeight="1">
      <x:c r="A214" s="2"/>
      <x:c r="B214" s="25" t="str">
        <x:v>【电子设备】</x:v>
      </x:c>
      <x:c r="C214" s="26" t="str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</x:row>
    <x:row r="215" ht="15.5" customHeight="1">
      <x:c r="A215" s="2"/>
      <x:c r="B215" s="2" t="str">
        <x:v>期初累计折摊</x:v>
      </x:c>
      <x:c r="C215" s="6" t="str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</x:row>
    <x:row r="216" ht="15.5" customHeight="1">
      <x:c r="A216" s="2"/>
      <x:c r="B216" s="2" t="str">
        <x:v>本期增加（含计提/转入/折算）</x:v>
      </x:c>
      <x:c r="C216" s="6" t="str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</x:row>
    <x:row r="217" ht="15.5" customHeight="1">
      <x:c r="A217" s="2"/>
      <x:c r="B217" s="2" t="str">
        <x:v>本期减少</x:v>
      </x:c>
      <x:c r="C217" s="6" t="str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</x:row>
    <x:row r="218" ht="15.5" customHeight="1">
      <x:c r="A218" s="2"/>
      <x:c r="B218" s="29" t="str">
        <x:v>累计折摊滚动校验</x:v>
      </x:c>
      <x:c r="C218" s="32" t="str"/>
      <x:c r="D218" s="33"/>
      <x:c r="E218" s="33" t="n">
        <x:f>IFERROR(0+(E215+E216-E217-E33),"待填")</x:f>
        <x:v>0</x:v>
      </x:c>
      <x:c r="F218" s="33" t="n">
        <x:f>IFERROR(0+(F215+F216-F217-F33),"待填")</x:f>
        <x:v>0</x:v>
      </x:c>
      <x:c r="G218" s="33" t="n">
        <x:f>IFERROR(0+(G215+G216-G217-G33),"待填")</x:f>
        <x:v>0</x:v>
      </x:c>
      <x:c r="H218" s="33" t="n">
        <x:f>IFERROR(0+(H215+H216-H217-H33),"待填")</x:f>
        <x:v>0</x:v>
      </x:c>
      <x:c r="I218" s="33" t="n">
        <x:f>IFERROR(0+(I215+I216-I217-I33),"待填")</x:f>
        <x:v>0</x:v>
      </x:c>
      <x:c r="J218" s="33" t="n">
        <x:f>IFERROR(0+(J215+J216-J217-J33),"待填")</x:f>
        <x:v>0</x:v>
      </x:c>
      <x:c r="K218" s="33" t="n">
        <x:f>IFERROR(0+(K215+K216-K217-K33),"待填")</x:f>
        <x:v>0</x:v>
      </x:c>
      <x:c r="L218" s="33" t="n">
        <x:f>IFERROR(0+(L215+L216-L217-L33),"待填")</x:f>
        <x:v>0</x:v>
      </x:c>
      <x:c r="M218" s="33" t="n">
        <x:f>IFERROR(0+(M215+M216-M217-M33),"待填")</x:f>
        <x:v>0</x:v>
      </x:c>
      <x:c r="N218" s="33" t="n">
        <x:f>IFERROR(0+(N215+N216-N217-N33),"待填")</x:f>
        <x:v>0</x:v>
      </x:c>
      <x:c r="O218" s="33" t="n">
        <x:f>IFERROR(0+(O215+O216-O217-O33),"待填")</x:f>
        <x:v>0</x:v>
      </x:c>
      <x:c r="P218" s="33" t="n">
        <x:f>IFERROR(0+(P215+P216-P217-P33),"待填")</x:f>
        <x:v>0</x:v>
      </x:c>
      <x:c r="Q218" s="33" t="n">
        <x:f>IFERROR(0+(Q215+Q216-Q217-Q33),"待填")</x:f>
        <x:v>0</x:v>
      </x:c>
      <x:c r="R218" s="33" t="n">
        <x:f>IFERROR(0+(R215+R216-R217-R33),"待填")</x:f>
        <x:v>0</x:v>
      </x:c>
      <x:c r="S218" s="33" t="n">
        <x:f>IFERROR(0+(S215+S216-S217-S33),"待填")</x:f>
        <x:v>0</x:v>
      </x:c>
      <x:c r="T218" s="33" t="n">
        <x:f>IFERROR(0+(T215+T216-T217-T33),"待填")</x:f>
        <x:v>0</x:v>
      </x:c>
      <x:c r="U218" s="33"/>
      <x:c r="V218" s="33"/>
      <x:c r="W218" s="33"/>
    </x:row>
    <x:row r="219" ht="25" customHeight="1">
      <x:c r="A219" s="2"/>
      <x:c r="B219" s="35" t="str">
        <x:v>【待补说明】填写该公司的口径、特殊事项和预测假设。</x:v>
      </x:c>
      <x:c r="C219" s="35" t="str">
        <x:v>【待补说明】填写该公司的口径、特殊事项和预测假设。</x:v>
      </x:c>
      <x:c r="D219" s="37"/>
      <x:c r="E219" s="37"/>
      <x:c r="F219" s="37"/>
      <x:c r="G219" s="37"/>
      <x:c r="H219" s="37"/>
      <x:c r="I219" s="37"/>
      <x:c r="J219" s="37"/>
      <x:c r="K219" s="37"/>
      <x:c r="L219" s="37"/>
      <x:c r="M219" s="37"/>
      <x:c r="N219" s="37"/>
      <x:c r="O219" s="37"/>
      <x:c r="P219" s="37"/>
      <x:c r="Q219" s="37"/>
      <x:c r="R219" s="37"/>
      <x:c r="S219" s="37"/>
      <x:c r="T219" s="37"/>
      <x:c r="U219" s="37"/>
      <x:c r="V219" s="37"/>
      <x:c r="W219" s="37"/>
    </x:row>
    <x:row r="220" ht="25" customHeight="1">
      <x:c r="A220" s="2"/>
      <x:c r="B220" s="35" t="str">
        <x:v>【待补说明】填写该公司的口径、特殊事项和预测假设。</x:v>
      </x:c>
      <x:c r="C220" s="35" t="str">
        <x:v>【待补说明】填写该公司的口径、特殊事项和预测假设。</x:v>
      </x:c>
      <x:c r="D220" s="37"/>
      <x:c r="E220" s="37"/>
      <x:c r="F220" s="37"/>
      <x:c r="G220" s="37"/>
      <x:c r="H220" s="37"/>
      <x:c r="I220" s="37"/>
      <x:c r="J220" s="37"/>
      <x:c r="K220" s="37"/>
      <x:c r="L220" s="37"/>
      <x:c r="M220" s="37"/>
      <x:c r="N220" s="37"/>
      <x:c r="O220" s="37"/>
      <x:c r="P220" s="37"/>
      <x:c r="Q220" s="37"/>
      <x:c r="R220" s="37"/>
      <x:c r="S220" s="37"/>
      <x:c r="T220" s="37"/>
      <x:c r="U220" s="37"/>
      <x:c r="V220" s="37"/>
      <x:c r="W220" s="37"/>
    </x:row>
    <x:row r="221" ht="25" customHeight="1">
      <x:c r="A221" s="2"/>
      <x:c r="B221" s="35" t="str">
        <x:v>【待补说明】填写该公司的口径、特殊事项和预测假设。</x:v>
      </x:c>
      <x:c r="C221" s="35" t="str">
        <x:v>【待补说明】填写该公司的口径、特殊事项和预测假设。</x:v>
      </x:c>
      <x:c r="D221" s="37"/>
      <x:c r="E221" s="37"/>
      <x:c r="F221" s="37"/>
      <x:c r="G221" s="37"/>
      <x:c r="H221" s="37"/>
      <x:c r="I221" s="37"/>
      <x:c r="J221" s="37"/>
      <x:c r="K221" s="37"/>
      <x:c r="L221" s="37"/>
      <x:c r="M221" s="37"/>
      <x:c r="N221" s="37"/>
      <x:c r="O221" s="37"/>
      <x:c r="P221" s="37"/>
      <x:c r="Q221" s="37"/>
      <x:c r="R221" s="37"/>
      <x:c r="S221" s="37"/>
      <x:c r="T221" s="37"/>
      <x:c r="U221" s="37"/>
      <x:c r="V221" s="37"/>
      <x:c r="W221" s="37"/>
    </x:row>
  </x:sheetData>
  <x:mergeCells>
    <x:mergeCell ref="B1:W1"/>
    <x:mergeCell ref="B2:W2"/>
    <x:mergeCell ref="B3:W3"/>
    <x:mergeCell ref="B219:W219"/>
    <x:mergeCell ref="B220:W220"/>
    <x:mergeCell ref="B221:W221"/>
  </x:mergeCells>
  <x:conditionalFormatting sqref="D16:W16">
    <x:cfRule type="expression" dxfId="8" priority="1">
      <x:formula>AND(ISNUMBER(D16),ABS(D16)&gt;0.02)</x:formula>
    </x:cfRule>
  </x:conditionalFormatting>
  <x:conditionalFormatting sqref="D127:W127">
    <x:cfRule type="expression" dxfId="9" priority="2">
      <x:formula>AND(ISNUMBER(D127),ABS(D127)&gt;0.02)</x:formula>
    </x:cfRule>
  </x:conditionalFormatting>
  <x:conditionalFormatting sqref="D128:W128">
    <x:cfRule type="expression" dxfId="10" priority="3">
      <x:formula>AND(ISNUMBER(D128),ABS(D128)&gt;0.02)</x:formula>
    </x:cfRule>
  </x:conditionalFormatting>
  <x:conditionalFormatting sqref="D136:W136">
    <x:cfRule type="expression" dxfId="11" priority="4">
      <x:formula>AND(ISNUMBER(D136),ABS(D136)&gt;0.02)</x:formula>
    </x:cfRule>
  </x:conditionalFormatting>
  <x:conditionalFormatting sqref="D137:W137">
    <x:cfRule type="expression" dxfId="12" priority="5">
      <x:formula>AND(ISNUMBER(D137),ABS(D137)&gt;0.02)</x:formula>
    </x:cfRule>
  </x:conditionalFormatting>
  <x:conditionalFormatting sqref="D145:W145">
    <x:cfRule type="expression" dxfId="13" priority="6">
      <x:formula>AND(ISNUMBER(D145),ABS(D145)&gt;0.02)</x:formula>
    </x:cfRule>
  </x:conditionalFormatting>
  <x:conditionalFormatting sqref="D146:W146">
    <x:cfRule type="expression" dxfId="14" priority="7">
      <x:formula>AND(ISNUMBER(D146),ABS(D146)&gt;0.02)</x:formula>
    </x:cfRule>
  </x:conditionalFormatting>
  <x:conditionalFormatting sqref="D154:W154">
    <x:cfRule type="expression" dxfId="15" priority="8">
      <x:formula>AND(ISNUMBER(D154),ABS(D154)&gt;0.02)</x:formula>
    </x:cfRule>
  </x:conditionalFormatting>
  <x:conditionalFormatting sqref="D155:W155">
    <x:cfRule type="expression" dxfId="16" priority="9">
      <x:formula>AND(ISNUMBER(D155),ABS(D155)&gt;0.02)</x:formula>
    </x:cfRule>
  </x:conditionalFormatting>
  <x:conditionalFormatting sqref="D163:W163">
    <x:cfRule type="expression" dxfId="17" priority="10">
      <x:formula>AND(ISNUMBER(D163),ABS(D163)&gt;0.02)</x:formula>
    </x:cfRule>
  </x:conditionalFormatting>
  <x:conditionalFormatting sqref="D164:W164">
    <x:cfRule type="expression" dxfId="18" priority="11">
      <x:formula>AND(ISNUMBER(D164),ABS(D164)&gt;0.02)</x:formula>
    </x:cfRule>
  </x:conditionalFormatting>
  <x:conditionalFormatting sqref="D172:W172">
    <x:cfRule type="expression" dxfId="19" priority="12">
      <x:formula>AND(ISNUMBER(D172),ABS(D172)&gt;0.02)</x:formula>
    </x:cfRule>
  </x:conditionalFormatting>
  <x:conditionalFormatting sqref="D173:W173">
    <x:cfRule type="expression" dxfId="20" priority="13">
      <x:formula>AND(ISNUMBER(D173),ABS(D173)&gt;0.02)</x:formula>
    </x:cfRule>
  </x:conditionalFormatting>
  <x:conditionalFormatting sqref="D181:W181">
    <x:cfRule type="expression" dxfId="21" priority="14">
      <x:formula>AND(ISNUMBER(D181),ABS(D181)&gt;0.02)</x:formula>
    </x:cfRule>
  </x:conditionalFormatting>
  <x:conditionalFormatting sqref="D182:W182">
    <x:cfRule type="expression" dxfId="22" priority="15">
      <x:formula>AND(ISNUMBER(D182),ABS(D182)&gt;0.02)</x:formula>
    </x:cfRule>
  </x:conditionalFormatting>
  <x:conditionalFormatting sqref="D188:W188">
    <x:cfRule type="expression" dxfId="23" priority="16">
      <x:formula>AND(ISNUMBER(D188),ABS(D188)&gt;0.02)</x:formula>
    </x:cfRule>
  </x:conditionalFormatting>
  <x:conditionalFormatting sqref="D193:W193">
    <x:cfRule type="expression" dxfId="24" priority="17">
      <x:formula>AND(ISNUMBER(D193),ABS(D193)&gt;0.02)</x:formula>
    </x:cfRule>
  </x:conditionalFormatting>
  <x:conditionalFormatting sqref="D198:W198">
    <x:cfRule type="expression" dxfId="25" priority="18">
      <x:formula>AND(ISNUMBER(D198),ABS(D198)&gt;0.02)</x:formula>
    </x:cfRule>
  </x:conditionalFormatting>
  <x:conditionalFormatting sqref="D203:W203">
    <x:cfRule type="expression" dxfId="26" priority="19">
      <x:formula>AND(ISNUMBER(D203),ABS(D203)&gt;0.02)</x:formula>
    </x:cfRule>
  </x:conditionalFormatting>
  <x:conditionalFormatting sqref="D208:W208">
    <x:cfRule type="expression" dxfId="27" priority="20">
      <x:formula>AND(ISNUMBER(D208),ABS(D208)&gt;0.02)</x:formula>
    </x:cfRule>
  </x:conditionalFormatting>
  <x:conditionalFormatting sqref="D213:W213">
    <x:cfRule type="expression" dxfId="28" priority="21">
      <x:formula>AND(ISNUMBER(D213),ABS(D213)&gt;0.02)</x:formula>
    </x:cfRule>
  </x:conditionalFormatting>
  <x:conditionalFormatting sqref="D218:W218">
    <x:cfRule type="expression" dxfId="29" priority="22">
      <x:formula>AND(ISNUMBER(D218),ABS(D218)&gt;0.02)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20" max="20" width="13.829999923706055" hidden="0" customWidth="1"/>
    <x:col min="21" max="21" width="13.829999923706055" hidden="0" customWidth="1"/>
    <x:col min="22" max="22" width="13.829999923706055" hidden="0" customWidth="1"/>
    <x:col min="23" max="23" width="13.829999923706055" hidden="0" customWidth="1"/>
    <x:col min="1" max="1" width="2.6600000858306885" hidden="0" customWidth="1"/>
    <x:col min="2" max="2" width="36.65999984741211" hidden="0" customWidth="1"/>
    <x:col min="3" max="3" width="16.5" hidden="0" customWidth="1"/>
  </x:cols>
  <x:sheetData>
    <x:row r="1" ht="26" customHeight="1">
      <x:c r="A1" s="2"/>
      <x:c r="B1" s="7" t="str">
        <x:v>示例公司在建工程：项目滚动与转固预测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2009基准</x:v>
      </x:c>
      <x:c r="E5" s="21" t="str">
        <x:v>2010A</x:v>
      </x:c>
      <x:c r="F5" s="21" t="str">
        <x:v>2011A</x:v>
      </x:c>
      <x:c r="G5" s="21" t="str">
        <x:v>2012A</x:v>
      </x:c>
      <x:c r="H5" s="21" t="str">
        <x:v>2013A</x:v>
      </x:c>
      <x:c r="I5" s="21" t="str">
        <x:v>2014A</x:v>
      </x:c>
      <x:c r="J5" s="21" t="str">
        <x:v>2015A</x:v>
      </x:c>
      <x:c r="K5" s="21" t="str">
        <x:v>2016A</x:v>
      </x:c>
      <x:c r="L5" s="21" t="str">
        <x:v>2017A</x:v>
      </x:c>
      <x:c r="M5" s="21" t="str">
        <x:v>2018A</x:v>
      </x:c>
      <x:c r="N5" s="21" t="str">
        <x:v>2019A</x:v>
      </x:c>
      <x:c r="O5" s="21" t="str">
        <x:v>2020A</x:v>
      </x:c>
      <x:c r="P5" s="21" t="str">
        <x:v>2021A</x:v>
      </x:c>
      <x:c r="Q5" s="21" t="str">
        <x:v>2022A</x:v>
      </x:c>
      <x:c r="R5" s="21" t="str">
        <x:v>2023A</x:v>
      </x:c>
      <x:c r="S5" s="21" t="str">
        <x:v>2024A</x:v>
      </x:c>
      <x:c r="T5" s="21" t="str">
        <x:v>2025A</x:v>
      </x:c>
      <x:c r="U5" s="21" t="str">
        <x:v>2026E</x:v>
      </x:c>
      <x:c r="V5" s="21" t="str">
        <x:v>2027E</x:v>
      </x:c>
      <x:c r="W5" s="21" t="str">
        <x:v>2028E</x:v>
      </x:c>
    </x:row>
    <x:row r="6" ht="21" customHeight="1">
      <x:c r="A6" s="2"/>
      <x:c r="B6" s="25" t="str">
        <x:v>一、在建工程与资产负债表勾稽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 ht="15.5" customHeight="1">
      <x:c r="A7" s="2"/>
      <x:c r="B7" s="2" t="str">
        <x:v>在建工程净值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 t="n">
        <x:f>IFERROR(0+(U164),"待填")</x:f>
        <x:v>0</x:v>
      </x:c>
      <x:c r="V7" s="4" t="n">
        <x:f>IFERROR(0+(V164),"待填")</x:f>
        <x:v>0</x:v>
      </x:c>
      <x:c r="W7" s="4" t="n">
        <x:f>IFERROR(0+(W164),"待填")</x:f>
        <x:v>0</x:v>
      </x:c>
    </x:row>
    <x:row r="8" ht="15.5" customHeight="1">
      <x:c r="A8" s="2"/>
      <x:c r="B8" s="2" t="str">
        <x:v>在建工程减值准备</x:v>
      </x:c>
      <x:c r="C8" s="6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15.5" customHeight="1">
      <x:c r="A9" s="2"/>
      <x:c r="B9" s="38" t="str">
        <x:v>在建工程账面余额</x:v>
      </x:c>
      <x:c r="C9" s="39" t="str"/>
      <x:c r="D9" s="41" t="n">
        <x:f>IFERROR(0+(D7+D8),"待填")</x:f>
        <x:v>0</x:v>
      </x:c>
      <x:c r="E9" s="41" t="n">
        <x:f>IFERROR(0+(E7+E8),"待填")</x:f>
        <x:v>0</x:v>
      </x:c>
      <x:c r="F9" s="41" t="n">
        <x:f>IFERROR(0+(F7+F8),"待填")</x:f>
        <x:v>0</x:v>
      </x:c>
      <x:c r="G9" s="41" t="n">
        <x:f>IFERROR(0+(G7+G8),"待填")</x:f>
        <x:v>0</x:v>
      </x:c>
      <x:c r="H9" s="41" t="n">
        <x:f>IFERROR(0+(H7+H8),"待填")</x:f>
        <x:v>0</x:v>
      </x:c>
      <x:c r="I9" s="41" t="n">
        <x:f>IFERROR(0+(I7+I8),"待填")</x:f>
        <x:v>0</x:v>
      </x:c>
      <x:c r="J9" s="41" t="n">
        <x:f>IFERROR(0+(J7+J8),"待填")</x:f>
        <x:v>0</x:v>
      </x:c>
      <x:c r="K9" s="41" t="n">
        <x:f>IFERROR(0+(K7+K8),"待填")</x:f>
        <x:v>0</x:v>
      </x:c>
      <x:c r="L9" s="41" t="n">
        <x:f>IFERROR(0+(L7+L8),"待填")</x:f>
        <x:v>0</x:v>
      </x:c>
      <x:c r="M9" s="41" t="n">
        <x:f>IFERROR(0+(M7+M8),"待填")</x:f>
        <x:v>0</x:v>
      </x:c>
      <x:c r="N9" s="41" t="n">
        <x:f>IFERROR(0+(N7+N8),"待填")</x:f>
        <x:v>0</x:v>
      </x:c>
      <x:c r="O9" s="41" t="n">
        <x:f>IFERROR(0+(O7+O8),"待填")</x:f>
        <x:v>0</x:v>
      </x:c>
      <x:c r="P9" s="41" t="n">
        <x:f>IFERROR(0+(P7+P8),"待填")</x:f>
        <x:v>0</x:v>
      </x:c>
      <x:c r="Q9" s="41" t="n">
        <x:f>IFERROR(0+(Q7+Q8),"待填")</x:f>
        <x:v>0</x:v>
      </x:c>
      <x:c r="R9" s="41" t="n">
        <x:f>IFERROR(0+(R7+R8),"待填")</x:f>
        <x:v>0</x:v>
      </x:c>
      <x:c r="S9" s="41" t="n">
        <x:f>IFERROR(0+(S7+S8),"待填")</x:f>
        <x:v>0</x:v>
      </x:c>
      <x:c r="T9" s="41" t="n">
        <x:f>IFERROR(0+(T7+T8),"待填")</x:f>
        <x:v>0</x:v>
      </x:c>
      <x:c r="U9" s="41" t="n">
        <x:f>IFERROR(0+(U7+U8),"待填")</x:f>
        <x:v>0</x:v>
      </x:c>
      <x:c r="V9" s="41" t="n">
        <x:f>IFERROR(0+(V7+V8),"待填")</x:f>
        <x:v>0</x:v>
      </x:c>
      <x:c r="W9" s="41" t="n">
        <x:f>IFERROR(0+(W7+W8),"待填")</x:f>
        <x:v>0</x:v>
      </x:c>
    </x:row>
    <x:row r="10" ht="21" customHeight="1">
      <x:c r="A10" s="2"/>
      <x:c r="B10" s="25" t="str">
        <x:v>二、期末项目净值（按目标公司披露调整）</x:v>
      </x:c>
      <x:c r="C10" s="26" t="str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</x:row>
    <x:row r="11" ht="15.5" customHeight="1">
      <x:c r="A11" s="2"/>
      <x:c r="B11" s="2" t="str">
        <x:v>示例项目1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15.5" customHeight="1">
      <x:c r="A12" s="2"/>
      <x:c r="B12" s="2" t="str">
        <x:v>示例项目2</x:v>
      </x:c>
      <x:c r="C12" s="6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15.5" customHeight="1">
      <x:c r="A13" s="2"/>
      <x:c r="B13" s="2" t="str">
        <x:v>示例项目3</x:v>
      </x:c>
      <x:c r="C13" s="6" t="str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15.5" customHeight="1">
      <x:c r="A14" s="2"/>
      <x:c r="B14" s="2" t="str">
        <x:v>示例项目4</x:v>
      </x:c>
      <x:c r="C14" s="6" t="str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15.5" customHeight="1">
      <x:c r="A15" s="2"/>
      <x:c r="B15" s="2" t="str">
        <x:v>示例项目5</x:v>
      </x:c>
      <x:c r="C15" s="6" t="str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15.5" customHeight="1">
      <x:c r="A16" s="2"/>
      <x:c r="B16" s="2" t="str">
        <x:v>示例项目6</x:v>
      </x:c>
      <x:c r="C16" s="6" t="str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15.5" customHeight="1">
      <x:c r="A17" s="2"/>
      <x:c r="B17" s="2" t="str">
        <x:v>示例项目7</x:v>
      </x:c>
      <x:c r="C17" s="6" t="str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15.5" customHeight="1">
      <x:c r="A18" s="2"/>
      <x:c r="B18" s="2" t="str">
        <x:v>示例项目8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15.5" customHeight="1">
      <x:c r="A19" s="2"/>
      <x:c r="B19" s="2" t="str">
        <x:v>示例项目9</x:v>
      </x:c>
      <x:c r="C19" s="6" t="str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15.5" customHeight="1">
      <x:c r="A20" s="2"/>
      <x:c r="B20" s="2" t="str">
        <x:v>示例项目10</x:v>
      </x:c>
      <x:c r="C20" s="6" t="str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15.5" customHeight="1">
      <x:c r="A21" s="2"/>
      <x:c r="B21" s="38" t="str">
        <x:v>项目净值合计</x:v>
      </x:c>
      <x:c r="C21" s="39" t="str"/>
      <x:c r="D21" s="41"/>
      <x:c r="E21" s="41" t="n">
        <x:f>IFERROR(0+(SUM(E11:E20)),"待填")</x:f>
        <x:v>0</x:v>
      </x:c>
      <x:c r="F21" s="41" t="n">
        <x:f>IFERROR(0+(SUM(F11:F20)),"待填")</x:f>
        <x:v>0</x:v>
      </x:c>
      <x:c r="G21" s="41" t="n">
        <x:f>IFERROR(0+(SUM(G11:G20)),"待填")</x:f>
        <x:v>0</x:v>
      </x:c>
      <x:c r="H21" s="41" t="n">
        <x:f>IFERROR(0+(SUM(H11:H20)),"待填")</x:f>
        <x:v>0</x:v>
      </x:c>
      <x:c r="I21" s="41" t="n">
        <x:f>IFERROR(0+(SUM(I11:I20)),"待填")</x:f>
        <x:v>0</x:v>
      </x:c>
      <x:c r="J21" s="41" t="n">
        <x:f>IFERROR(0+(SUM(J11:J20)),"待填")</x:f>
        <x:v>0</x:v>
      </x:c>
      <x:c r="K21" s="41" t="n">
        <x:f>IFERROR(0+(SUM(K11:K20)),"待填")</x:f>
        <x:v>0</x:v>
      </x:c>
      <x:c r="L21" s="41" t="n">
        <x:f>IFERROR(0+(SUM(L11:L20)),"待填")</x:f>
        <x:v>0</x:v>
      </x:c>
      <x:c r="M21" s="41" t="n">
        <x:f>IFERROR(0+(SUM(M11:M20)),"待填")</x:f>
        <x:v>0</x:v>
      </x:c>
      <x:c r="N21" s="41" t="n">
        <x:f>IFERROR(0+(SUM(N11:N20)),"待填")</x:f>
        <x:v>0</x:v>
      </x:c>
      <x:c r="O21" s="41" t="n">
        <x:f>IFERROR(0+(SUM(O11:O20)),"待填")</x:f>
        <x:v>0</x:v>
      </x:c>
      <x:c r="P21" s="41" t="n">
        <x:f>IFERROR(0+(SUM(P11:P20)),"待填")</x:f>
        <x:v>0</x:v>
      </x:c>
      <x:c r="Q21" s="41" t="n">
        <x:f>IFERROR(0+(SUM(Q11:Q20)),"待填")</x:f>
        <x:v>0</x:v>
      </x:c>
      <x:c r="R21" s="41" t="n">
        <x:f>IFERROR(0+(SUM(R11:R20)),"待填")</x:f>
        <x:v>0</x:v>
      </x:c>
      <x:c r="S21" s="41" t="n">
        <x:f>IFERROR(0+(SUM(S11:S20)),"待填")</x:f>
        <x:v>0</x:v>
      </x:c>
      <x:c r="T21" s="41" t="n">
        <x:f>IFERROR(0+(SUM(T11:T20)),"待填")</x:f>
        <x:v>0</x:v>
      </x:c>
      <x:c r="U21" s="41"/>
      <x:c r="V21" s="41"/>
      <x:c r="W21" s="41"/>
    </x:row>
    <x:row r="22" ht="15.5" customHeight="1">
      <x:c r="A22" s="2"/>
      <x:c r="B22" s="29" t="str">
        <x:v>项目合计与报表差额</x:v>
      </x:c>
      <x:c r="C22" s="32" t="str"/>
      <x:c r="D22" s="33"/>
      <x:c r="E22" s="33" t="n">
        <x:f>IFERROR(0+(E21-E7),"待填")</x:f>
        <x:v>0</x:v>
      </x:c>
      <x:c r="F22" s="33" t="n">
        <x:f>IFERROR(0+(F21-F7),"待填")</x:f>
        <x:v>0</x:v>
      </x:c>
      <x:c r="G22" s="33" t="n">
        <x:f>IFERROR(0+(G21-G7),"待填")</x:f>
        <x:v>0</x:v>
      </x:c>
      <x:c r="H22" s="33" t="n">
        <x:f>IFERROR(0+(H21-H7),"待填")</x:f>
        <x:v>0</x:v>
      </x:c>
      <x:c r="I22" s="33" t="n">
        <x:f>IFERROR(0+(I21-I7),"待填")</x:f>
        <x:v>0</x:v>
      </x:c>
      <x:c r="J22" s="33" t="n">
        <x:f>IFERROR(0+(J21-J7),"待填")</x:f>
        <x:v>0</x:v>
      </x:c>
      <x:c r="K22" s="33" t="n">
        <x:f>IFERROR(0+(K21-K7),"待填")</x:f>
        <x:v>0</x:v>
      </x:c>
      <x:c r="L22" s="33" t="n">
        <x:f>IFERROR(0+(L21-L7),"待填")</x:f>
        <x:v>0</x:v>
      </x:c>
      <x:c r="M22" s="33" t="n">
        <x:f>IFERROR(0+(M21-M7),"待填")</x:f>
        <x:v>0</x:v>
      </x:c>
      <x:c r="N22" s="33" t="n">
        <x:f>IFERROR(0+(N21-N7),"待填")</x:f>
        <x:v>0</x:v>
      </x:c>
      <x:c r="O22" s="33" t="n">
        <x:f>IFERROR(0+(O21-O7),"待填")</x:f>
        <x:v>0</x:v>
      </x:c>
      <x:c r="P22" s="33" t="n">
        <x:f>IFERROR(0+(P21-P7),"待填")</x:f>
        <x:v>0</x:v>
      </x:c>
      <x:c r="Q22" s="33" t="n">
        <x:f>IFERROR(0+(Q21-Q7),"待填")</x:f>
        <x:v>0</x:v>
      </x:c>
      <x:c r="R22" s="33" t="n">
        <x:f>IFERROR(0+(R21-R7),"待填")</x:f>
        <x:v>0</x:v>
      </x:c>
      <x:c r="S22" s="33" t="n">
        <x:f>IFERROR(0+(S21-S7),"待填")</x:f>
        <x:v>0</x:v>
      </x:c>
      <x:c r="T22" s="33" t="n">
        <x:f>IFERROR(0+(T21-T7),"待填")</x:f>
        <x:v>0</x:v>
      </x:c>
      <x:c r="U22" s="33"/>
      <x:c r="V22" s="33"/>
      <x:c r="W22" s="33"/>
    </x:row>
    <x:row r="23" ht="21" customHeight="1">
      <x:c r="A23" s="2"/>
      <x:c r="B23" s="25" t="str">
        <x:v>三、项目滚动（账面余额口径）</x:v>
      </x:c>
      <x:c r="C23" s="26" t="str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</x:row>
    <x:row r="24" ht="21" customHeight="1">
      <x:c r="A24" s="2"/>
      <x:c r="B24" s="25" t="str">
        <x:v>示例项目1</x:v>
      </x:c>
      <x:c r="C24" s="26" t="str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</x:row>
    <x:row r="25" ht="15.5" customHeight="1">
      <x:c r="A25" s="2"/>
      <x:c r="B25" s="2" t="str">
        <x:v>期初余额</x:v>
      </x:c>
      <x:c r="C25" s="6" t="str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</x:row>
    <x:row r="26" ht="15.5" customHeight="1">
      <x:c r="A26" s="2"/>
      <x:c r="B26" s="2" t="str">
        <x:v>本期增加</x:v>
      </x:c>
      <x:c r="C26" s="6" t="str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</x:row>
    <x:row r="27" ht="15.5" customHeight="1">
      <x:c r="A27" s="2"/>
      <x:c r="B27" s="2" t="str">
        <x:v>转入固定资产</x:v>
      </x:c>
      <x:c r="C27" s="6" t="str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</x:row>
    <x:row r="28" ht="15.5" customHeight="1">
      <x:c r="A28" s="2"/>
      <x:c r="B28" s="2" t="str">
        <x:v>其他减少</x:v>
      </x:c>
      <x:c r="C28" s="6" t="str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</x:row>
    <x:row r="29" ht="15.5" customHeight="1">
      <x:c r="A29" s="2"/>
      <x:c r="B29" s="2" t="str">
        <x:v>期末余额（披露）</x:v>
      </x:c>
      <x:c r="C29" s="6" t="str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</x:row>
    <x:row r="30" ht="15.5" customHeight="1">
      <x:c r="A30" s="2"/>
      <x:c r="B30" s="2" t="str">
        <x:v>期末余额（计算）</x:v>
      </x:c>
      <x:c r="C30" s="6" t="str"/>
      <x:c r="D30" s="4"/>
      <x:c r="E30" s="4" t="n">
        <x:f>IFERROR(0+(E25+E26-E27-E28),"待填")</x:f>
        <x:v>0</x:v>
      </x:c>
      <x:c r="F30" s="4" t="n">
        <x:f>IFERROR(0+(F25+F26-F27-F28),"待填")</x:f>
        <x:v>0</x:v>
      </x:c>
      <x:c r="G30" s="4" t="n">
        <x:f>IFERROR(0+(G25+G26-G27-G28),"待填")</x:f>
        <x:v>0</x:v>
      </x:c>
      <x:c r="H30" s="4" t="n">
        <x:f>IFERROR(0+(H25+H26-H27-H28),"待填")</x:f>
        <x:v>0</x:v>
      </x:c>
      <x:c r="I30" s="4" t="n">
        <x:f>IFERROR(0+(I25+I26-I27-I28),"待填")</x:f>
        <x:v>0</x:v>
      </x:c>
      <x:c r="J30" s="4" t="n">
        <x:f>IFERROR(0+(J25+J26-J27-J28),"待填")</x:f>
        <x:v>0</x:v>
      </x:c>
      <x:c r="K30" s="4" t="n">
        <x:f>IFERROR(0+(K25+K26-K27-K28),"待填")</x:f>
        <x:v>0</x:v>
      </x:c>
      <x:c r="L30" s="4" t="n">
        <x:f>IFERROR(0+(L25+L26-L27-L28),"待填")</x:f>
        <x:v>0</x:v>
      </x:c>
      <x:c r="M30" s="4" t="n">
        <x:f>IFERROR(0+(M25+M26-M27-M28),"待填")</x:f>
        <x:v>0</x:v>
      </x:c>
      <x:c r="N30" s="4" t="n">
        <x:f>IFERROR(0+(N25+N26-N27-N28),"待填")</x:f>
        <x:v>0</x:v>
      </x:c>
      <x:c r="O30" s="4" t="n">
        <x:f>IFERROR(0+(O25+O26-O27-O28),"待填")</x:f>
        <x:v>0</x:v>
      </x:c>
      <x:c r="P30" s="4" t="n">
        <x:f>IFERROR(0+(P25+P26-P27-P28),"待填")</x:f>
        <x:v>0</x:v>
      </x:c>
      <x:c r="Q30" s="4" t="n">
        <x:f>IFERROR(0+(Q25+Q26-Q27-Q28),"待填")</x:f>
        <x:v>0</x:v>
      </x:c>
      <x:c r="R30" s="4" t="n">
        <x:f>IFERROR(0+(R25+R26-R27-R28),"待填")</x:f>
        <x:v>0</x:v>
      </x:c>
      <x:c r="S30" s="4" t="n">
        <x:f>IFERROR(0+(S25+S26-S27-S28),"待填")</x:f>
        <x:v>0</x:v>
      </x:c>
      <x:c r="T30" s="4" t="n">
        <x:f>IFERROR(0+(T25+T26-T27-T28),"待填")</x:f>
        <x:v>0</x:v>
      </x:c>
      <x:c r="U30" s="4"/>
      <x:c r="V30" s="4"/>
      <x:c r="W30" s="4"/>
    </x:row>
    <x:row r="31" ht="15.5" customHeight="1">
      <x:c r="A31" s="2"/>
      <x:c r="B31" s="29" t="str">
        <x:v>滚动校验</x:v>
      </x:c>
      <x:c r="C31" s="32" t="str"/>
      <x:c r="D31" s="33"/>
      <x:c r="E31" s="33" t="n">
        <x:f>IFERROR(0+(E30-E29),"待填")</x:f>
        <x:v>0</x:v>
      </x:c>
      <x:c r="F31" s="33" t="n">
        <x:f>IFERROR(0+(F30-F29),"待填")</x:f>
        <x:v>0</x:v>
      </x:c>
      <x:c r="G31" s="33" t="n">
        <x:f>IFERROR(0+(G30-G29),"待填")</x:f>
        <x:v>0</x:v>
      </x:c>
      <x:c r="H31" s="33" t="n">
        <x:f>IFERROR(0+(H30-H29),"待填")</x:f>
        <x:v>0</x:v>
      </x:c>
      <x:c r="I31" s="33" t="n">
        <x:f>IFERROR(0+(I30-I29),"待填")</x:f>
        <x:v>0</x:v>
      </x:c>
      <x:c r="J31" s="33" t="n">
        <x:f>IFERROR(0+(J30-J29),"待填")</x:f>
        <x:v>0</x:v>
      </x:c>
      <x:c r="K31" s="33" t="n">
        <x:f>IFERROR(0+(K30-K29),"待填")</x:f>
        <x:v>0</x:v>
      </x:c>
      <x:c r="L31" s="33" t="n">
        <x:f>IFERROR(0+(L30-L29),"待填")</x:f>
        <x:v>0</x:v>
      </x:c>
      <x:c r="M31" s="33" t="n">
        <x:f>IFERROR(0+(M30-M29),"待填")</x:f>
        <x:v>0</x:v>
      </x:c>
      <x:c r="N31" s="33" t="n">
        <x:f>IFERROR(0+(N30-N29),"待填")</x:f>
        <x:v>0</x:v>
      </x:c>
      <x:c r="O31" s="33" t="n">
        <x:f>IFERROR(0+(O30-O29),"待填")</x:f>
        <x:v>0</x:v>
      </x:c>
      <x:c r="P31" s="33" t="n">
        <x:f>IFERROR(0+(P30-P29),"待填")</x:f>
        <x:v>0</x:v>
      </x:c>
      <x:c r="Q31" s="33" t="n">
        <x:f>IFERROR(0+(Q30-Q29),"待填")</x:f>
        <x:v>0</x:v>
      </x:c>
      <x:c r="R31" s="33" t="n">
        <x:f>IFERROR(0+(R30-R29),"待填")</x:f>
        <x:v>0</x:v>
      </x:c>
      <x:c r="S31" s="33" t="n">
        <x:f>IFERROR(0+(S30-S29),"待填")</x:f>
        <x:v>0</x:v>
      </x:c>
      <x:c r="T31" s="33" t="n">
        <x:f>IFERROR(0+(T30-T29),"待填")</x:f>
        <x:v>0</x:v>
      </x:c>
      <x:c r="U31" s="33"/>
      <x:c r="V31" s="33"/>
      <x:c r="W31" s="33"/>
    </x:row>
    <x:row r="32" ht="15.5" customHeight="1">
      <x:c r="A32" s="2"/>
      <x:c r="B32" s="2" t="str">
        <x:v>转固率</x:v>
      </x:c>
      <x:c r="C32" s="46" t="str"/>
      <x:c r="D32" s="85"/>
      <x:c r="E32" s="85" t="n">
        <x:f>IFERROR(0+(IF((E25+E26)=0,0,E27/(E25+E26))),"待填")</x:f>
        <x:v>0</x:v>
      </x:c>
      <x:c r="F32" s="85" t="n">
        <x:f>IFERROR(0+(IF((F25+F26)=0,0,F27/(F25+F26))),"待填")</x:f>
        <x:v>0</x:v>
      </x:c>
      <x:c r="G32" s="85" t="n">
        <x:f>IFERROR(0+(IF((G25+G26)=0,0,G27/(G25+G26))),"待填")</x:f>
        <x:v>0</x:v>
      </x:c>
      <x:c r="H32" s="85" t="n">
        <x:f>IFERROR(0+(IF((H25+H26)=0,0,H27/(H25+H26))),"待填")</x:f>
        <x:v>0</x:v>
      </x:c>
      <x:c r="I32" s="85" t="n">
        <x:f>IFERROR(0+(IF((I25+I26)=0,0,I27/(I25+I26))),"待填")</x:f>
        <x:v>0</x:v>
      </x:c>
      <x:c r="J32" s="85" t="n">
        <x:f>IFERROR(0+(IF((J25+J26)=0,0,J27/(J25+J26))),"待填")</x:f>
        <x:v>0</x:v>
      </x:c>
      <x:c r="K32" s="85" t="n">
        <x:f>IFERROR(0+(IF((K25+K26)=0,0,K27/(K25+K26))),"待填")</x:f>
        <x:v>0</x:v>
      </x:c>
      <x:c r="L32" s="85" t="n">
        <x:f>IFERROR(0+(IF((L25+L26)=0,0,L27/(L25+L26))),"待填")</x:f>
        <x:v>0</x:v>
      </x:c>
      <x:c r="M32" s="85" t="n">
        <x:f>IFERROR(0+(IF((M25+M26)=0,0,M27/(M25+M26))),"待填")</x:f>
        <x:v>0</x:v>
      </x:c>
      <x:c r="N32" s="85" t="n">
        <x:f>IFERROR(0+(IF((N25+N26)=0,0,N27/(N25+N26))),"待填")</x:f>
        <x:v>0</x:v>
      </x:c>
      <x:c r="O32" s="85" t="n">
        <x:f>IFERROR(0+(IF((O25+O26)=0,0,O27/(O25+O26))),"待填")</x:f>
        <x:v>0</x:v>
      </x:c>
      <x:c r="P32" s="85" t="n">
        <x:f>IFERROR(0+(IF((P25+P26)=0,0,P27/(P25+P26))),"待填")</x:f>
        <x:v>0</x:v>
      </x:c>
      <x:c r="Q32" s="85" t="n">
        <x:f>IFERROR(0+(IF((Q25+Q26)=0,0,Q27/(Q25+Q26))),"待填")</x:f>
        <x:v>0</x:v>
      </x:c>
      <x:c r="R32" s="85" t="n">
        <x:f>IFERROR(0+(IF((R25+R26)=0,0,R27/(R25+R26))),"待填")</x:f>
        <x:v>0</x:v>
      </x:c>
      <x:c r="S32" s="85" t="n">
        <x:f>IFERROR(0+(IF((S25+S26)=0,0,S27/(S25+S26))),"待填")</x:f>
        <x:v>0</x:v>
      </x:c>
      <x:c r="T32" s="85" t="n">
        <x:f>IFERROR(0+(IF((T25+T26)=0,0,T27/(T25+T26))),"待填")</x:f>
        <x:v>0</x:v>
      </x:c>
      <x:c r="U32" s="85"/>
      <x:c r="V32" s="85"/>
      <x:c r="W32" s="85"/>
    </x:row>
    <x:row r="33" ht="21" customHeight="1">
      <x:c r="A33" s="2"/>
      <x:c r="B33" s="25" t="str">
        <x:v>示例项目2</x:v>
      </x:c>
      <x:c r="C33" s="26" t="str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</x:row>
    <x:row r="34" ht="15.5" customHeight="1">
      <x:c r="A34" s="2"/>
      <x:c r="B34" s="2" t="str">
        <x:v>期初余额</x:v>
      </x:c>
      <x:c r="C34" s="6" t="str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</x:row>
    <x:row r="35" ht="15.5" customHeight="1">
      <x:c r="A35" s="2"/>
      <x:c r="B35" s="2" t="str">
        <x:v>本期增加</x:v>
      </x:c>
      <x:c r="C35" s="6" t="str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</x:row>
    <x:row r="36" ht="15.5" customHeight="1">
      <x:c r="A36" s="2"/>
      <x:c r="B36" s="2" t="str">
        <x:v>转入固定资产</x:v>
      </x:c>
      <x:c r="C36" s="6" t="str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</x:row>
    <x:row r="37" ht="15.5" customHeight="1">
      <x:c r="A37" s="2"/>
      <x:c r="B37" s="2" t="str">
        <x:v>其他减少</x:v>
      </x:c>
      <x:c r="C37" s="6" t="str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</x:row>
    <x:row r="38" ht="15.5" customHeight="1">
      <x:c r="A38" s="2"/>
      <x:c r="B38" s="2" t="str">
        <x:v>期末余额（披露）</x:v>
      </x:c>
      <x:c r="C38" s="6" t="str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</x:row>
    <x:row r="39" ht="15.5" customHeight="1">
      <x:c r="A39" s="2"/>
      <x:c r="B39" s="2" t="str">
        <x:v>期末余额（计算）</x:v>
      </x:c>
      <x:c r="C39" s="6" t="str"/>
      <x:c r="D39" s="4"/>
      <x:c r="E39" s="4" t="n">
        <x:f>IFERROR(0+(E34+E35-E36-E37),"待填")</x:f>
        <x:v>0</x:v>
      </x:c>
      <x:c r="F39" s="4" t="n">
        <x:f>IFERROR(0+(F34+F35-F36-F37),"待填")</x:f>
        <x:v>0</x:v>
      </x:c>
      <x:c r="G39" s="4" t="n">
        <x:f>IFERROR(0+(G34+G35-G36-G37),"待填")</x:f>
        <x:v>0</x:v>
      </x:c>
      <x:c r="H39" s="4" t="n">
        <x:f>IFERROR(0+(H34+H35-H36-H37),"待填")</x:f>
        <x:v>0</x:v>
      </x:c>
      <x:c r="I39" s="4" t="n">
        <x:f>IFERROR(0+(I34+I35-I36-I37),"待填")</x:f>
        <x:v>0</x:v>
      </x:c>
      <x:c r="J39" s="4" t="n">
        <x:f>IFERROR(0+(J34+J35-J36-J37),"待填")</x:f>
        <x:v>0</x:v>
      </x:c>
      <x:c r="K39" s="4" t="n">
        <x:f>IFERROR(0+(K34+K35-K36-K37),"待填")</x:f>
        <x:v>0</x:v>
      </x:c>
      <x:c r="L39" s="4" t="n">
        <x:f>IFERROR(0+(L34+L35-L36-L37),"待填")</x:f>
        <x:v>0</x:v>
      </x:c>
      <x:c r="M39" s="4" t="n">
        <x:f>IFERROR(0+(M34+M35-M36-M37),"待填")</x:f>
        <x:v>0</x:v>
      </x:c>
      <x:c r="N39" s="4" t="n">
        <x:f>IFERROR(0+(N34+N35-N36-N37),"待填")</x:f>
        <x:v>0</x:v>
      </x:c>
      <x:c r="O39" s="4" t="n">
        <x:f>IFERROR(0+(O34+O35-O36-O37),"待填")</x:f>
        <x:v>0</x:v>
      </x:c>
      <x:c r="P39" s="4" t="n">
        <x:f>IFERROR(0+(P34+P35-P36-P37),"待填")</x:f>
        <x:v>0</x:v>
      </x:c>
      <x:c r="Q39" s="4" t="n">
        <x:f>IFERROR(0+(Q34+Q35-Q36-Q37),"待填")</x:f>
        <x:v>0</x:v>
      </x:c>
      <x:c r="R39" s="4" t="n">
        <x:f>IFERROR(0+(R34+R35-R36-R37),"待填")</x:f>
        <x:v>0</x:v>
      </x:c>
      <x:c r="S39" s="4" t="n">
        <x:f>IFERROR(0+(S34+S35-S36-S37),"待填")</x:f>
        <x:v>0</x:v>
      </x:c>
      <x:c r="T39" s="4" t="n">
        <x:f>IFERROR(0+(T34+T35-T36-T37),"待填")</x:f>
        <x:v>0</x:v>
      </x:c>
      <x:c r="U39" s="4"/>
      <x:c r="V39" s="4"/>
      <x:c r="W39" s="4"/>
    </x:row>
    <x:row r="40" ht="15.5" customHeight="1">
      <x:c r="A40" s="2"/>
      <x:c r="B40" s="29" t="str">
        <x:v>滚动校验</x:v>
      </x:c>
      <x:c r="C40" s="32" t="str"/>
      <x:c r="D40" s="33"/>
      <x:c r="E40" s="33" t="n">
        <x:f>IFERROR(0+(E39-E38),"待填")</x:f>
        <x:v>0</x:v>
      </x:c>
      <x:c r="F40" s="33" t="n">
        <x:f>IFERROR(0+(F39-F38),"待填")</x:f>
        <x:v>0</x:v>
      </x:c>
      <x:c r="G40" s="33" t="n">
        <x:f>IFERROR(0+(G39-G38),"待填")</x:f>
        <x:v>0</x:v>
      </x:c>
      <x:c r="H40" s="33" t="n">
        <x:f>IFERROR(0+(H39-H38),"待填")</x:f>
        <x:v>0</x:v>
      </x:c>
      <x:c r="I40" s="33" t="n">
        <x:f>IFERROR(0+(I39-I38),"待填")</x:f>
        <x:v>0</x:v>
      </x:c>
      <x:c r="J40" s="33" t="n">
        <x:f>IFERROR(0+(J39-J38),"待填")</x:f>
        <x:v>0</x:v>
      </x:c>
      <x:c r="K40" s="33" t="n">
        <x:f>IFERROR(0+(K39-K38),"待填")</x:f>
        <x:v>0</x:v>
      </x:c>
      <x:c r="L40" s="33" t="n">
        <x:f>IFERROR(0+(L39-L38),"待填")</x:f>
        <x:v>0</x:v>
      </x:c>
      <x:c r="M40" s="33" t="n">
        <x:f>IFERROR(0+(M39-M38),"待填")</x:f>
        <x:v>0</x:v>
      </x:c>
      <x:c r="N40" s="33" t="n">
        <x:f>IFERROR(0+(N39-N38),"待填")</x:f>
        <x:v>0</x:v>
      </x:c>
      <x:c r="O40" s="33" t="n">
        <x:f>IFERROR(0+(O39-O38),"待填")</x:f>
        <x:v>0</x:v>
      </x:c>
      <x:c r="P40" s="33" t="n">
        <x:f>IFERROR(0+(P39-P38),"待填")</x:f>
        <x:v>0</x:v>
      </x:c>
      <x:c r="Q40" s="33" t="n">
        <x:f>IFERROR(0+(Q39-Q38),"待填")</x:f>
        <x:v>0</x:v>
      </x:c>
      <x:c r="R40" s="33" t="n">
        <x:f>IFERROR(0+(R39-R38),"待填")</x:f>
        <x:v>0</x:v>
      </x:c>
      <x:c r="S40" s="33" t="n">
        <x:f>IFERROR(0+(S39-S38),"待填")</x:f>
        <x:v>0</x:v>
      </x:c>
      <x:c r="T40" s="33" t="n">
        <x:f>IFERROR(0+(T39-T38),"待填")</x:f>
        <x:v>0</x:v>
      </x:c>
      <x:c r="U40" s="33"/>
      <x:c r="V40" s="33"/>
      <x:c r="W40" s="33"/>
    </x:row>
    <x:row r="41" ht="15.5" customHeight="1">
      <x:c r="A41" s="2"/>
      <x:c r="B41" s="2" t="str">
        <x:v>转固率</x:v>
      </x:c>
      <x:c r="C41" s="46" t="str"/>
      <x:c r="D41" s="85"/>
      <x:c r="E41" s="85" t="n">
        <x:f>IFERROR(0+(IF((E34+E35)=0,0,E36/(E34+E35))),"待填")</x:f>
        <x:v>0</x:v>
      </x:c>
      <x:c r="F41" s="85" t="n">
        <x:f>IFERROR(0+(IF((F34+F35)=0,0,F36/(F34+F35))),"待填")</x:f>
        <x:v>0</x:v>
      </x:c>
      <x:c r="G41" s="85" t="n">
        <x:f>IFERROR(0+(IF((G34+G35)=0,0,G36/(G34+G35))),"待填")</x:f>
        <x:v>0</x:v>
      </x:c>
      <x:c r="H41" s="85" t="n">
        <x:f>IFERROR(0+(IF((H34+H35)=0,0,H36/(H34+H35))),"待填")</x:f>
        <x:v>0</x:v>
      </x:c>
      <x:c r="I41" s="85" t="n">
        <x:f>IFERROR(0+(IF((I34+I35)=0,0,I36/(I34+I35))),"待填")</x:f>
        <x:v>0</x:v>
      </x:c>
      <x:c r="J41" s="85" t="n">
        <x:f>IFERROR(0+(IF((J34+J35)=0,0,J36/(J34+J35))),"待填")</x:f>
        <x:v>0</x:v>
      </x:c>
      <x:c r="K41" s="85" t="n">
        <x:f>IFERROR(0+(IF((K34+K35)=0,0,K36/(K34+K35))),"待填")</x:f>
        <x:v>0</x:v>
      </x:c>
      <x:c r="L41" s="85" t="n">
        <x:f>IFERROR(0+(IF((L34+L35)=0,0,L36/(L34+L35))),"待填")</x:f>
        <x:v>0</x:v>
      </x:c>
      <x:c r="M41" s="85" t="n">
        <x:f>IFERROR(0+(IF((M34+M35)=0,0,M36/(M34+M35))),"待填")</x:f>
        <x:v>0</x:v>
      </x:c>
      <x:c r="N41" s="85" t="n">
        <x:f>IFERROR(0+(IF((N34+N35)=0,0,N36/(N34+N35))),"待填")</x:f>
        <x:v>0</x:v>
      </x:c>
      <x:c r="O41" s="85" t="n">
        <x:f>IFERROR(0+(IF((O34+O35)=0,0,O36/(O34+O35))),"待填")</x:f>
        <x:v>0</x:v>
      </x:c>
      <x:c r="P41" s="85" t="n">
        <x:f>IFERROR(0+(IF((P34+P35)=0,0,P36/(P34+P35))),"待填")</x:f>
        <x:v>0</x:v>
      </x:c>
      <x:c r="Q41" s="85" t="n">
        <x:f>IFERROR(0+(IF((Q34+Q35)=0,0,Q36/(Q34+Q35))),"待填")</x:f>
        <x:v>0</x:v>
      </x:c>
      <x:c r="R41" s="85" t="n">
        <x:f>IFERROR(0+(IF((R34+R35)=0,0,R36/(R34+R35))),"待填")</x:f>
        <x:v>0</x:v>
      </x:c>
      <x:c r="S41" s="85" t="n">
        <x:f>IFERROR(0+(IF((S34+S35)=0,0,S36/(S34+S35))),"待填")</x:f>
        <x:v>0</x:v>
      </x:c>
      <x:c r="T41" s="85" t="n">
        <x:f>IFERROR(0+(IF((T34+T35)=0,0,T36/(T34+T35))),"待填")</x:f>
        <x:v>0</x:v>
      </x:c>
      <x:c r="U41" s="85"/>
      <x:c r="V41" s="85"/>
      <x:c r="W41" s="85"/>
    </x:row>
    <x:row r="42" ht="21" customHeight="1">
      <x:c r="A42" s="2"/>
      <x:c r="B42" s="25" t="str">
        <x:v>示例项目3</x:v>
      </x:c>
      <x:c r="C42" s="26" t="str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</x:row>
    <x:row r="43" ht="15.5" customHeight="1">
      <x:c r="A43" s="2"/>
      <x:c r="B43" s="2" t="str">
        <x:v>期初余额</x:v>
      </x:c>
      <x:c r="C43" s="6" t="str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</x:row>
    <x:row r="44" ht="15.5" customHeight="1">
      <x:c r="A44" s="2"/>
      <x:c r="B44" s="2" t="str">
        <x:v>本期增加</x:v>
      </x:c>
      <x:c r="C44" s="6" t="str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</x:row>
    <x:row r="45" ht="15.5" customHeight="1">
      <x:c r="A45" s="2"/>
      <x:c r="B45" s="2" t="str">
        <x:v>转入固定资产</x:v>
      </x:c>
      <x:c r="C45" s="6" t="str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 ht="15.5" customHeight="1">
      <x:c r="A46" s="2"/>
      <x:c r="B46" s="2" t="str">
        <x:v>其他减少</x:v>
      </x:c>
      <x:c r="C46" s="6" t="str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 ht="15.5" customHeight="1">
      <x:c r="A47" s="2"/>
      <x:c r="B47" s="2" t="str">
        <x:v>期末余额（披露）</x:v>
      </x:c>
      <x:c r="C47" s="6" t="str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 ht="15.5" customHeight="1">
      <x:c r="A48" s="2"/>
      <x:c r="B48" s="2" t="str">
        <x:v>期末余额（计算）</x:v>
      </x:c>
      <x:c r="C48" s="6" t="str"/>
      <x:c r="D48" s="4"/>
      <x:c r="E48" s="4" t="n">
        <x:f>IFERROR(0+(E43+E44-E45-E46),"待填")</x:f>
        <x:v>0</x:v>
      </x:c>
      <x:c r="F48" s="4" t="n">
        <x:f>IFERROR(0+(F43+F44-F45-F46),"待填")</x:f>
        <x:v>0</x:v>
      </x:c>
      <x:c r="G48" s="4" t="n">
        <x:f>IFERROR(0+(G43+G44-G45-G46),"待填")</x:f>
        <x:v>0</x:v>
      </x:c>
      <x:c r="H48" s="4" t="n">
        <x:f>IFERROR(0+(H43+H44-H45-H46),"待填")</x:f>
        <x:v>0</x:v>
      </x:c>
      <x:c r="I48" s="4" t="n">
        <x:f>IFERROR(0+(I43+I44-I45-I46),"待填")</x:f>
        <x:v>0</x:v>
      </x:c>
      <x:c r="J48" s="4" t="n">
        <x:f>IFERROR(0+(J43+J44-J45-J46),"待填")</x:f>
        <x:v>0</x:v>
      </x:c>
      <x:c r="K48" s="4" t="n">
        <x:f>IFERROR(0+(K43+K44-K45-K46),"待填")</x:f>
        <x:v>0</x:v>
      </x:c>
      <x:c r="L48" s="4" t="n">
        <x:f>IFERROR(0+(L43+L44-L45-L46),"待填")</x:f>
        <x:v>0</x:v>
      </x:c>
      <x:c r="M48" s="4" t="n">
        <x:f>IFERROR(0+(M43+M44-M45-M46),"待填")</x:f>
        <x:v>0</x:v>
      </x:c>
      <x:c r="N48" s="4" t="n">
        <x:f>IFERROR(0+(N43+N44-N45-N46),"待填")</x:f>
        <x:v>0</x:v>
      </x:c>
      <x:c r="O48" s="4" t="n">
        <x:f>IFERROR(0+(O43+O44-O45-O46),"待填")</x:f>
        <x:v>0</x:v>
      </x:c>
      <x:c r="P48" s="4" t="n">
        <x:f>IFERROR(0+(P43+P44-P45-P46),"待填")</x:f>
        <x:v>0</x:v>
      </x:c>
      <x:c r="Q48" s="4" t="n">
        <x:f>IFERROR(0+(Q43+Q44-Q45-Q46),"待填")</x:f>
        <x:v>0</x:v>
      </x:c>
      <x:c r="R48" s="4" t="n">
        <x:f>IFERROR(0+(R43+R44-R45-R46),"待填")</x:f>
        <x:v>0</x:v>
      </x:c>
      <x:c r="S48" s="4" t="n">
        <x:f>IFERROR(0+(S43+S44-S45-S46),"待填")</x:f>
        <x:v>0</x:v>
      </x:c>
      <x:c r="T48" s="4" t="n">
        <x:f>IFERROR(0+(T43+T44-T45-T46),"待填")</x:f>
        <x:v>0</x:v>
      </x:c>
      <x:c r="U48" s="4"/>
      <x:c r="V48" s="4"/>
      <x:c r="W48" s="4"/>
    </x:row>
    <x:row r="49" ht="15.5" customHeight="1">
      <x:c r="A49" s="2"/>
      <x:c r="B49" s="29" t="str">
        <x:v>滚动校验</x:v>
      </x:c>
      <x:c r="C49" s="32" t="str"/>
      <x:c r="D49" s="33"/>
      <x:c r="E49" s="33" t="n">
        <x:f>IFERROR(0+(E48-E47),"待填")</x:f>
        <x:v>0</x:v>
      </x:c>
      <x:c r="F49" s="33" t="n">
        <x:f>IFERROR(0+(F48-F47),"待填")</x:f>
        <x:v>0</x:v>
      </x:c>
      <x:c r="G49" s="33" t="n">
        <x:f>IFERROR(0+(G48-G47),"待填")</x:f>
        <x:v>0</x:v>
      </x:c>
      <x:c r="H49" s="33" t="n">
        <x:f>IFERROR(0+(H48-H47),"待填")</x:f>
        <x:v>0</x:v>
      </x:c>
      <x:c r="I49" s="33" t="n">
        <x:f>IFERROR(0+(I48-I47),"待填")</x:f>
        <x:v>0</x:v>
      </x:c>
      <x:c r="J49" s="33" t="n">
        <x:f>IFERROR(0+(J48-J47),"待填")</x:f>
        <x:v>0</x:v>
      </x:c>
      <x:c r="K49" s="33" t="n">
        <x:f>IFERROR(0+(K48-K47),"待填")</x:f>
        <x:v>0</x:v>
      </x:c>
      <x:c r="L49" s="33" t="n">
        <x:f>IFERROR(0+(L48-L47),"待填")</x:f>
        <x:v>0</x:v>
      </x:c>
      <x:c r="M49" s="33" t="n">
        <x:f>IFERROR(0+(M48-M47),"待填")</x:f>
        <x:v>0</x:v>
      </x:c>
      <x:c r="N49" s="33" t="n">
        <x:f>IFERROR(0+(N48-N47),"待填")</x:f>
        <x:v>0</x:v>
      </x:c>
      <x:c r="O49" s="33" t="n">
        <x:f>IFERROR(0+(O48-O47),"待填")</x:f>
        <x:v>0</x:v>
      </x:c>
      <x:c r="P49" s="33" t="n">
        <x:f>IFERROR(0+(P48-P47),"待填")</x:f>
        <x:v>0</x:v>
      </x:c>
      <x:c r="Q49" s="33" t="n">
        <x:f>IFERROR(0+(Q48-Q47),"待填")</x:f>
        <x:v>0</x:v>
      </x:c>
      <x:c r="R49" s="33" t="n">
        <x:f>IFERROR(0+(R48-R47),"待填")</x:f>
        <x:v>0</x:v>
      </x:c>
      <x:c r="S49" s="33" t="n">
        <x:f>IFERROR(0+(S48-S47),"待填")</x:f>
        <x:v>0</x:v>
      </x:c>
      <x:c r="T49" s="33" t="n">
        <x:f>IFERROR(0+(T48-T47),"待填")</x:f>
        <x:v>0</x:v>
      </x:c>
      <x:c r="U49" s="33"/>
      <x:c r="V49" s="33"/>
      <x:c r="W49" s="33"/>
    </x:row>
    <x:row r="50" ht="15.5" customHeight="1">
      <x:c r="A50" s="2"/>
      <x:c r="B50" s="2" t="str">
        <x:v>转固率</x:v>
      </x:c>
      <x:c r="C50" s="46" t="str"/>
      <x:c r="D50" s="85"/>
      <x:c r="E50" s="85" t="n">
        <x:f>IFERROR(0+(IF((E43+E44)=0,0,E45/(E43+E44))),"待填")</x:f>
        <x:v>0</x:v>
      </x:c>
      <x:c r="F50" s="85" t="n">
        <x:f>IFERROR(0+(IF((F43+F44)=0,0,F45/(F43+F44))),"待填")</x:f>
        <x:v>0</x:v>
      </x:c>
      <x:c r="G50" s="85" t="n">
        <x:f>IFERROR(0+(IF((G43+G44)=0,0,G45/(G43+G44))),"待填")</x:f>
        <x:v>0</x:v>
      </x:c>
      <x:c r="H50" s="85" t="n">
        <x:f>IFERROR(0+(IF((H43+H44)=0,0,H45/(H43+H44))),"待填")</x:f>
        <x:v>0</x:v>
      </x:c>
      <x:c r="I50" s="85" t="n">
        <x:f>IFERROR(0+(IF((I43+I44)=0,0,I45/(I43+I44))),"待填")</x:f>
        <x:v>0</x:v>
      </x:c>
      <x:c r="J50" s="85" t="n">
        <x:f>IFERROR(0+(IF((J43+J44)=0,0,J45/(J43+J44))),"待填")</x:f>
        <x:v>0</x:v>
      </x:c>
      <x:c r="K50" s="85" t="n">
        <x:f>IFERROR(0+(IF((K43+K44)=0,0,K45/(K43+K44))),"待填")</x:f>
        <x:v>0</x:v>
      </x:c>
      <x:c r="L50" s="85" t="n">
        <x:f>IFERROR(0+(IF((L43+L44)=0,0,L45/(L43+L44))),"待填")</x:f>
        <x:v>0</x:v>
      </x:c>
      <x:c r="M50" s="85" t="n">
        <x:f>IFERROR(0+(IF((M43+M44)=0,0,M45/(M43+M44))),"待填")</x:f>
        <x:v>0</x:v>
      </x:c>
      <x:c r="N50" s="85" t="n">
        <x:f>IFERROR(0+(IF((N43+N44)=0,0,N45/(N43+N44))),"待填")</x:f>
        <x:v>0</x:v>
      </x:c>
      <x:c r="O50" s="85" t="n">
        <x:f>IFERROR(0+(IF((O43+O44)=0,0,O45/(O43+O44))),"待填")</x:f>
        <x:v>0</x:v>
      </x:c>
      <x:c r="P50" s="85" t="n">
        <x:f>IFERROR(0+(IF((P43+P44)=0,0,P45/(P43+P44))),"待填")</x:f>
        <x:v>0</x:v>
      </x:c>
      <x:c r="Q50" s="85" t="n">
        <x:f>IFERROR(0+(IF((Q43+Q44)=0,0,Q45/(Q43+Q44))),"待填")</x:f>
        <x:v>0</x:v>
      </x:c>
      <x:c r="R50" s="85" t="n">
        <x:f>IFERROR(0+(IF((R43+R44)=0,0,R45/(R43+R44))),"待填")</x:f>
        <x:v>0</x:v>
      </x:c>
      <x:c r="S50" s="85" t="n">
        <x:f>IFERROR(0+(IF((S43+S44)=0,0,S45/(S43+S44))),"待填")</x:f>
        <x:v>0</x:v>
      </x:c>
      <x:c r="T50" s="85" t="n">
        <x:f>IFERROR(0+(IF((T43+T44)=0,0,T45/(T43+T44))),"待填")</x:f>
        <x:v>0</x:v>
      </x:c>
      <x:c r="U50" s="85"/>
      <x:c r="V50" s="85"/>
      <x:c r="W50" s="85"/>
    </x:row>
    <x:row r="51" ht="21" customHeight="1">
      <x:c r="A51" s="2"/>
      <x:c r="B51" s="25" t="str">
        <x:v>示例项目4</x:v>
      </x:c>
      <x:c r="C51" s="26" t="str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</x:row>
    <x:row r="52" ht="15.5" customHeight="1">
      <x:c r="A52" s="2"/>
      <x:c r="B52" s="2" t="str">
        <x:v>期初余额</x:v>
      </x:c>
      <x:c r="C52" s="6" t="str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 ht="15.5" customHeight="1">
      <x:c r="A53" s="2"/>
      <x:c r="B53" s="2" t="str">
        <x:v>本期增加</x:v>
      </x:c>
      <x:c r="C53" s="6" t="str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 ht="15.5" customHeight="1">
      <x:c r="A54" s="2"/>
      <x:c r="B54" s="2" t="str">
        <x:v>转入固定资产</x:v>
      </x:c>
      <x:c r="C54" s="6" t="str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 ht="15.5" customHeight="1">
      <x:c r="A55" s="2"/>
      <x:c r="B55" s="2" t="str">
        <x:v>其他减少</x:v>
      </x:c>
      <x:c r="C55" s="6" t="str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 ht="15.5" customHeight="1">
      <x:c r="A56" s="2"/>
      <x:c r="B56" s="2" t="str">
        <x:v>期末余额（披露）</x:v>
      </x:c>
      <x:c r="C56" s="6" t="str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 ht="15.5" customHeight="1">
      <x:c r="A57" s="2"/>
      <x:c r="B57" s="2" t="str">
        <x:v>期末余额（计算）</x:v>
      </x:c>
      <x:c r="C57" s="6" t="str"/>
      <x:c r="D57" s="4"/>
      <x:c r="E57" s="4" t="n">
        <x:f>IFERROR(0+(E52+E53-E54-E55),"待填")</x:f>
        <x:v>0</x:v>
      </x:c>
      <x:c r="F57" s="4" t="n">
        <x:f>IFERROR(0+(F52+F53-F54-F55),"待填")</x:f>
        <x:v>0</x:v>
      </x:c>
      <x:c r="G57" s="4" t="n">
        <x:f>IFERROR(0+(G52+G53-G54-G55),"待填")</x:f>
        <x:v>0</x:v>
      </x:c>
      <x:c r="H57" s="4" t="n">
        <x:f>IFERROR(0+(H52+H53-H54-H55),"待填")</x:f>
        <x:v>0</x:v>
      </x:c>
      <x:c r="I57" s="4" t="n">
        <x:f>IFERROR(0+(I52+I53-I54-I55),"待填")</x:f>
        <x:v>0</x:v>
      </x:c>
      <x:c r="J57" s="4" t="n">
        <x:f>IFERROR(0+(J52+J53-J54-J55),"待填")</x:f>
        <x:v>0</x:v>
      </x:c>
      <x:c r="K57" s="4" t="n">
        <x:f>IFERROR(0+(K52+K53-K54-K55),"待填")</x:f>
        <x:v>0</x:v>
      </x:c>
      <x:c r="L57" s="4" t="n">
        <x:f>IFERROR(0+(L52+L53-L54-L55),"待填")</x:f>
        <x:v>0</x:v>
      </x:c>
      <x:c r="M57" s="4" t="n">
        <x:f>IFERROR(0+(M52+M53-M54-M55),"待填")</x:f>
        <x:v>0</x:v>
      </x:c>
      <x:c r="N57" s="4" t="n">
        <x:f>IFERROR(0+(N52+N53-N54-N55),"待填")</x:f>
        <x:v>0</x:v>
      </x:c>
      <x:c r="O57" s="4" t="n">
        <x:f>IFERROR(0+(O52+O53-O54-O55),"待填")</x:f>
        <x:v>0</x:v>
      </x:c>
      <x:c r="P57" s="4" t="n">
        <x:f>IFERROR(0+(P52+P53-P54-P55),"待填")</x:f>
        <x:v>0</x:v>
      </x:c>
      <x:c r="Q57" s="4" t="n">
        <x:f>IFERROR(0+(Q52+Q53-Q54-Q55),"待填")</x:f>
        <x:v>0</x:v>
      </x:c>
      <x:c r="R57" s="4" t="n">
        <x:f>IFERROR(0+(R52+R53-R54-R55),"待填")</x:f>
        <x:v>0</x:v>
      </x:c>
      <x:c r="S57" s="4" t="n">
        <x:f>IFERROR(0+(S52+S53-S54-S55),"待填")</x:f>
        <x:v>0</x:v>
      </x:c>
      <x:c r="T57" s="4" t="n">
        <x:f>IFERROR(0+(T52+T53-T54-T55),"待填")</x:f>
        <x:v>0</x:v>
      </x:c>
      <x:c r="U57" s="4"/>
      <x:c r="V57" s="4"/>
      <x:c r="W57" s="4"/>
    </x:row>
    <x:row r="58" ht="15.5" customHeight="1">
      <x:c r="A58" s="2"/>
      <x:c r="B58" s="29" t="str">
        <x:v>滚动校验</x:v>
      </x:c>
      <x:c r="C58" s="32" t="str"/>
      <x:c r="D58" s="33"/>
      <x:c r="E58" s="33" t="n">
        <x:f>IFERROR(0+(E57-E56),"待填")</x:f>
        <x:v>0</x:v>
      </x:c>
      <x:c r="F58" s="33" t="n">
        <x:f>IFERROR(0+(F57-F56),"待填")</x:f>
        <x:v>0</x:v>
      </x:c>
      <x:c r="G58" s="33" t="n">
        <x:f>IFERROR(0+(G57-G56),"待填")</x:f>
        <x:v>0</x:v>
      </x:c>
      <x:c r="H58" s="33" t="n">
        <x:f>IFERROR(0+(H57-H56),"待填")</x:f>
        <x:v>0</x:v>
      </x:c>
      <x:c r="I58" s="33" t="n">
        <x:f>IFERROR(0+(I57-I56),"待填")</x:f>
        <x:v>0</x:v>
      </x:c>
      <x:c r="J58" s="33" t="n">
        <x:f>IFERROR(0+(J57-J56),"待填")</x:f>
        <x:v>0</x:v>
      </x:c>
      <x:c r="K58" s="33" t="n">
        <x:f>IFERROR(0+(K57-K56),"待填")</x:f>
        <x:v>0</x:v>
      </x:c>
      <x:c r="L58" s="33" t="n">
        <x:f>IFERROR(0+(L57-L56),"待填")</x:f>
        <x:v>0</x:v>
      </x:c>
      <x:c r="M58" s="33" t="n">
        <x:f>IFERROR(0+(M57-M56),"待填")</x:f>
        <x:v>0</x:v>
      </x:c>
      <x:c r="N58" s="33" t="n">
        <x:f>IFERROR(0+(N57-N56),"待填")</x:f>
        <x:v>0</x:v>
      </x:c>
      <x:c r="O58" s="33" t="n">
        <x:f>IFERROR(0+(O57-O56),"待填")</x:f>
        <x:v>0</x:v>
      </x:c>
      <x:c r="P58" s="33" t="n">
        <x:f>IFERROR(0+(P57-P56),"待填")</x:f>
        <x:v>0</x:v>
      </x:c>
      <x:c r="Q58" s="33" t="n">
        <x:f>IFERROR(0+(Q57-Q56),"待填")</x:f>
        <x:v>0</x:v>
      </x:c>
      <x:c r="R58" s="33" t="n">
        <x:f>IFERROR(0+(R57-R56),"待填")</x:f>
        <x:v>0</x:v>
      </x:c>
      <x:c r="S58" s="33" t="n">
        <x:f>IFERROR(0+(S57-S56),"待填")</x:f>
        <x:v>0</x:v>
      </x:c>
      <x:c r="T58" s="33" t="n">
        <x:f>IFERROR(0+(T57-T56),"待填")</x:f>
        <x:v>0</x:v>
      </x:c>
      <x:c r="U58" s="33"/>
      <x:c r="V58" s="33"/>
      <x:c r="W58" s="33"/>
    </x:row>
    <x:row r="59" ht="15.5" customHeight="1">
      <x:c r="A59" s="2"/>
      <x:c r="B59" s="2" t="str">
        <x:v>转固率</x:v>
      </x:c>
      <x:c r="C59" s="46" t="str"/>
      <x:c r="D59" s="85"/>
      <x:c r="E59" s="85" t="n">
        <x:f>IFERROR(0+(IF((E52+E53)=0,0,E54/(E52+E53))),"待填")</x:f>
        <x:v>0</x:v>
      </x:c>
      <x:c r="F59" s="85" t="n">
        <x:f>IFERROR(0+(IF((F52+F53)=0,0,F54/(F52+F53))),"待填")</x:f>
        <x:v>0</x:v>
      </x:c>
      <x:c r="G59" s="85" t="n">
        <x:f>IFERROR(0+(IF((G52+G53)=0,0,G54/(G52+G53))),"待填")</x:f>
        <x:v>0</x:v>
      </x:c>
      <x:c r="H59" s="85" t="n">
        <x:f>IFERROR(0+(IF((H52+H53)=0,0,H54/(H52+H53))),"待填")</x:f>
        <x:v>0</x:v>
      </x:c>
      <x:c r="I59" s="85" t="n">
        <x:f>IFERROR(0+(IF((I52+I53)=0,0,I54/(I52+I53))),"待填")</x:f>
        <x:v>0</x:v>
      </x:c>
      <x:c r="J59" s="85" t="n">
        <x:f>IFERROR(0+(IF((J52+J53)=0,0,J54/(J52+J53))),"待填")</x:f>
        <x:v>0</x:v>
      </x:c>
      <x:c r="K59" s="85" t="n">
        <x:f>IFERROR(0+(IF((K52+K53)=0,0,K54/(K52+K53))),"待填")</x:f>
        <x:v>0</x:v>
      </x:c>
      <x:c r="L59" s="85" t="n">
        <x:f>IFERROR(0+(IF((L52+L53)=0,0,L54/(L52+L53))),"待填")</x:f>
        <x:v>0</x:v>
      </x:c>
      <x:c r="M59" s="85" t="n">
        <x:f>IFERROR(0+(IF((M52+M53)=0,0,M54/(M52+M53))),"待填")</x:f>
        <x:v>0</x:v>
      </x:c>
      <x:c r="N59" s="85" t="n">
        <x:f>IFERROR(0+(IF((N52+N53)=0,0,N54/(N52+N53))),"待填")</x:f>
        <x:v>0</x:v>
      </x:c>
      <x:c r="O59" s="85" t="n">
        <x:f>IFERROR(0+(IF((O52+O53)=0,0,O54/(O52+O53))),"待填")</x:f>
        <x:v>0</x:v>
      </x:c>
      <x:c r="P59" s="85" t="n">
        <x:f>IFERROR(0+(IF((P52+P53)=0,0,P54/(P52+P53))),"待填")</x:f>
        <x:v>0</x:v>
      </x:c>
      <x:c r="Q59" s="85" t="n">
        <x:f>IFERROR(0+(IF((Q52+Q53)=0,0,Q54/(Q52+Q53))),"待填")</x:f>
        <x:v>0</x:v>
      </x:c>
      <x:c r="R59" s="85" t="n">
        <x:f>IFERROR(0+(IF((R52+R53)=0,0,R54/(R52+R53))),"待填")</x:f>
        <x:v>0</x:v>
      </x:c>
      <x:c r="S59" s="85" t="n">
        <x:f>IFERROR(0+(IF((S52+S53)=0,0,S54/(S52+S53))),"待填")</x:f>
        <x:v>0</x:v>
      </x:c>
      <x:c r="T59" s="85" t="n">
        <x:f>IFERROR(0+(IF((T52+T53)=0,0,T54/(T52+T53))),"待填")</x:f>
        <x:v>0</x:v>
      </x:c>
      <x:c r="U59" s="85"/>
      <x:c r="V59" s="85"/>
      <x:c r="W59" s="85"/>
    </x:row>
    <x:row r="60" ht="21" customHeight="1">
      <x:c r="A60" s="2"/>
      <x:c r="B60" s="25" t="str">
        <x:v>示例项目5</x:v>
      </x:c>
      <x:c r="C60" s="26" t="str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</x:row>
    <x:row r="61" ht="15.5" customHeight="1">
      <x:c r="A61" s="2"/>
      <x:c r="B61" s="2" t="str">
        <x:v>期初余额</x:v>
      </x:c>
      <x:c r="C61" s="6" t="str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</x:row>
    <x:row r="62" ht="15.5" customHeight="1">
      <x:c r="A62" s="2"/>
      <x:c r="B62" s="2" t="str">
        <x:v>本期增加</x:v>
      </x:c>
      <x:c r="C62" s="6" t="str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</x:row>
    <x:row r="63" ht="15.5" customHeight="1">
      <x:c r="A63" s="2"/>
      <x:c r="B63" s="2" t="str">
        <x:v>转入固定资产</x:v>
      </x:c>
      <x:c r="C63" s="6" t="str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</x:row>
    <x:row r="64" ht="15.5" customHeight="1">
      <x:c r="A64" s="2"/>
      <x:c r="B64" s="2" t="str">
        <x:v>其他减少</x:v>
      </x:c>
      <x:c r="C64" s="6" t="str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</x:row>
    <x:row r="65" ht="15.5" customHeight="1">
      <x:c r="A65" s="2"/>
      <x:c r="B65" s="2" t="str">
        <x:v>期末余额（披露）</x:v>
      </x:c>
      <x:c r="C65" s="6" t="str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 ht="15.5" customHeight="1">
      <x:c r="A66" s="2"/>
      <x:c r="B66" s="2" t="str">
        <x:v>期末余额（计算）</x:v>
      </x:c>
      <x:c r="C66" s="6" t="str"/>
      <x:c r="D66" s="4"/>
      <x:c r="E66" s="4" t="n">
        <x:f>IFERROR(0+(E61+E62-E63-E64),"待填")</x:f>
        <x:v>0</x:v>
      </x:c>
      <x:c r="F66" s="4" t="n">
        <x:f>IFERROR(0+(F61+F62-F63-F64),"待填")</x:f>
        <x:v>0</x:v>
      </x:c>
      <x:c r="G66" s="4" t="n">
        <x:f>IFERROR(0+(G61+G62-G63-G64),"待填")</x:f>
        <x:v>0</x:v>
      </x:c>
      <x:c r="H66" s="4" t="n">
        <x:f>IFERROR(0+(H61+H62-H63-H64),"待填")</x:f>
        <x:v>0</x:v>
      </x:c>
      <x:c r="I66" s="4" t="n">
        <x:f>IFERROR(0+(I61+I62-I63-I64),"待填")</x:f>
        <x:v>0</x:v>
      </x:c>
      <x:c r="J66" s="4" t="n">
        <x:f>IFERROR(0+(J61+J62-J63-J64),"待填")</x:f>
        <x:v>0</x:v>
      </x:c>
      <x:c r="K66" s="4" t="n">
        <x:f>IFERROR(0+(K61+K62-K63-K64),"待填")</x:f>
        <x:v>0</x:v>
      </x:c>
      <x:c r="L66" s="4" t="n">
        <x:f>IFERROR(0+(L61+L62-L63-L64),"待填")</x:f>
        <x:v>0</x:v>
      </x:c>
      <x:c r="M66" s="4" t="n">
        <x:f>IFERROR(0+(M61+M62-M63-M64),"待填")</x:f>
        <x:v>0</x:v>
      </x:c>
      <x:c r="N66" s="4" t="n">
        <x:f>IFERROR(0+(N61+N62-N63-N64),"待填")</x:f>
        <x:v>0</x:v>
      </x:c>
      <x:c r="O66" s="4" t="n">
        <x:f>IFERROR(0+(O61+O62-O63-O64),"待填")</x:f>
        <x:v>0</x:v>
      </x:c>
      <x:c r="P66" s="4" t="n">
        <x:f>IFERROR(0+(P61+P62-P63-P64),"待填")</x:f>
        <x:v>0</x:v>
      </x:c>
      <x:c r="Q66" s="4" t="n">
        <x:f>IFERROR(0+(Q61+Q62-Q63-Q64),"待填")</x:f>
        <x:v>0</x:v>
      </x:c>
      <x:c r="R66" s="4" t="n">
        <x:f>IFERROR(0+(R61+R62-R63-R64),"待填")</x:f>
        <x:v>0</x:v>
      </x:c>
      <x:c r="S66" s="4" t="n">
        <x:f>IFERROR(0+(S61+S62-S63-S64),"待填")</x:f>
        <x:v>0</x:v>
      </x:c>
      <x:c r="T66" s="4" t="n">
        <x:f>IFERROR(0+(T61+T62-T63-T64),"待填")</x:f>
        <x:v>0</x:v>
      </x:c>
      <x:c r="U66" s="4"/>
      <x:c r="V66" s="4"/>
      <x:c r="W66" s="4"/>
    </x:row>
    <x:row r="67" ht="15.5" customHeight="1">
      <x:c r="A67" s="2"/>
      <x:c r="B67" s="29" t="str">
        <x:v>滚动校验</x:v>
      </x:c>
      <x:c r="C67" s="32" t="str"/>
      <x:c r="D67" s="33"/>
      <x:c r="E67" s="33" t="n">
        <x:f>IFERROR(0+(E66-E65),"待填")</x:f>
        <x:v>0</x:v>
      </x:c>
      <x:c r="F67" s="33" t="n">
        <x:f>IFERROR(0+(F66-F65),"待填")</x:f>
        <x:v>0</x:v>
      </x:c>
      <x:c r="G67" s="33" t="n">
        <x:f>IFERROR(0+(G66-G65),"待填")</x:f>
        <x:v>0</x:v>
      </x:c>
      <x:c r="H67" s="33" t="n">
        <x:f>IFERROR(0+(H66-H65),"待填")</x:f>
        <x:v>0</x:v>
      </x:c>
      <x:c r="I67" s="33" t="n">
        <x:f>IFERROR(0+(I66-I65),"待填")</x:f>
        <x:v>0</x:v>
      </x:c>
      <x:c r="J67" s="33" t="n">
        <x:f>IFERROR(0+(J66-J65),"待填")</x:f>
        <x:v>0</x:v>
      </x:c>
      <x:c r="K67" s="33" t="n">
        <x:f>IFERROR(0+(K66-K65),"待填")</x:f>
        <x:v>0</x:v>
      </x:c>
      <x:c r="L67" s="33" t="n">
        <x:f>IFERROR(0+(L66-L65),"待填")</x:f>
        <x:v>0</x:v>
      </x:c>
      <x:c r="M67" s="33" t="n">
        <x:f>IFERROR(0+(M66-M65),"待填")</x:f>
        <x:v>0</x:v>
      </x:c>
      <x:c r="N67" s="33" t="n">
        <x:f>IFERROR(0+(N66-N65),"待填")</x:f>
        <x:v>0</x:v>
      </x:c>
      <x:c r="O67" s="33" t="n">
        <x:f>IFERROR(0+(O66-O65),"待填")</x:f>
        <x:v>0</x:v>
      </x:c>
      <x:c r="P67" s="33" t="n">
        <x:f>IFERROR(0+(P66-P65),"待填")</x:f>
        <x:v>0</x:v>
      </x:c>
      <x:c r="Q67" s="33" t="n">
        <x:f>IFERROR(0+(Q66-Q65),"待填")</x:f>
        <x:v>0</x:v>
      </x:c>
      <x:c r="R67" s="33" t="n">
        <x:f>IFERROR(0+(R66-R65),"待填")</x:f>
        <x:v>0</x:v>
      </x:c>
      <x:c r="S67" s="33" t="n">
        <x:f>IFERROR(0+(S66-S65),"待填")</x:f>
        <x:v>0</x:v>
      </x:c>
      <x:c r="T67" s="33" t="n">
        <x:f>IFERROR(0+(T66-T65),"待填")</x:f>
        <x:v>0</x:v>
      </x:c>
      <x:c r="U67" s="33"/>
      <x:c r="V67" s="33"/>
      <x:c r="W67" s="33"/>
    </x:row>
    <x:row r="68" ht="15.5" customHeight="1">
      <x:c r="A68" s="2"/>
      <x:c r="B68" s="2" t="str">
        <x:v>转固率</x:v>
      </x:c>
      <x:c r="C68" s="46" t="str"/>
      <x:c r="D68" s="85"/>
      <x:c r="E68" s="85" t="n">
        <x:f>IFERROR(0+(IF((E61+E62)=0,0,E63/(E61+E62))),"待填")</x:f>
        <x:v>0</x:v>
      </x:c>
      <x:c r="F68" s="85" t="n">
        <x:f>IFERROR(0+(IF((F61+F62)=0,0,F63/(F61+F62))),"待填")</x:f>
        <x:v>0</x:v>
      </x:c>
      <x:c r="G68" s="85" t="n">
        <x:f>IFERROR(0+(IF((G61+G62)=0,0,G63/(G61+G62))),"待填")</x:f>
        <x:v>0</x:v>
      </x:c>
      <x:c r="H68" s="85" t="n">
        <x:f>IFERROR(0+(IF((H61+H62)=0,0,H63/(H61+H62))),"待填")</x:f>
        <x:v>0</x:v>
      </x:c>
      <x:c r="I68" s="85" t="n">
        <x:f>IFERROR(0+(IF((I61+I62)=0,0,I63/(I61+I62))),"待填")</x:f>
        <x:v>0</x:v>
      </x:c>
      <x:c r="J68" s="85" t="n">
        <x:f>IFERROR(0+(IF((J61+J62)=0,0,J63/(J61+J62))),"待填")</x:f>
        <x:v>0</x:v>
      </x:c>
      <x:c r="K68" s="85" t="n">
        <x:f>IFERROR(0+(IF((K61+K62)=0,0,K63/(K61+K62))),"待填")</x:f>
        <x:v>0</x:v>
      </x:c>
      <x:c r="L68" s="85" t="n">
        <x:f>IFERROR(0+(IF((L61+L62)=0,0,L63/(L61+L62))),"待填")</x:f>
        <x:v>0</x:v>
      </x:c>
      <x:c r="M68" s="85" t="n">
        <x:f>IFERROR(0+(IF((M61+M62)=0,0,M63/(M61+M62))),"待填")</x:f>
        <x:v>0</x:v>
      </x:c>
      <x:c r="N68" s="85" t="n">
        <x:f>IFERROR(0+(IF((N61+N62)=0,0,N63/(N61+N62))),"待填")</x:f>
        <x:v>0</x:v>
      </x:c>
      <x:c r="O68" s="85" t="n">
        <x:f>IFERROR(0+(IF((O61+O62)=0,0,O63/(O61+O62))),"待填")</x:f>
        <x:v>0</x:v>
      </x:c>
      <x:c r="P68" s="85" t="n">
        <x:f>IFERROR(0+(IF((P61+P62)=0,0,P63/(P61+P62))),"待填")</x:f>
        <x:v>0</x:v>
      </x:c>
      <x:c r="Q68" s="85" t="n">
        <x:f>IFERROR(0+(IF((Q61+Q62)=0,0,Q63/(Q61+Q62))),"待填")</x:f>
        <x:v>0</x:v>
      </x:c>
      <x:c r="R68" s="85" t="n">
        <x:f>IFERROR(0+(IF((R61+R62)=0,0,R63/(R61+R62))),"待填")</x:f>
        <x:v>0</x:v>
      </x:c>
      <x:c r="S68" s="85" t="n">
        <x:f>IFERROR(0+(IF((S61+S62)=0,0,S63/(S61+S62))),"待填")</x:f>
        <x:v>0</x:v>
      </x:c>
      <x:c r="T68" s="85" t="n">
        <x:f>IFERROR(0+(IF((T61+T62)=0,0,T63/(T61+T62))),"待填")</x:f>
        <x:v>0</x:v>
      </x:c>
      <x:c r="U68" s="85"/>
      <x:c r="V68" s="85"/>
      <x:c r="W68" s="85"/>
    </x:row>
    <x:row r="69" ht="21" customHeight="1">
      <x:c r="A69" s="2"/>
      <x:c r="B69" s="25" t="str">
        <x:v>示例项目6</x:v>
      </x:c>
      <x:c r="C69" s="26" t="str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</x:row>
    <x:row r="70" ht="15.5" customHeight="1">
      <x:c r="A70" s="2"/>
      <x:c r="B70" s="2" t="str">
        <x:v>期初余额</x:v>
      </x:c>
      <x:c r="C70" s="6" t="str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</x:row>
    <x:row r="71" ht="15.5" customHeight="1">
      <x:c r="A71" s="2"/>
      <x:c r="B71" s="2" t="str">
        <x:v>本期增加</x:v>
      </x:c>
      <x:c r="C71" s="6" t="str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</x:row>
    <x:row r="72" ht="15.5" customHeight="1">
      <x:c r="A72" s="2"/>
      <x:c r="B72" s="2" t="str">
        <x:v>转入固定资产</x:v>
      </x:c>
      <x:c r="C72" s="6" t="str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 ht="15.5" customHeight="1">
      <x:c r="A73" s="2"/>
      <x:c r="B73" s="2" t="str">
        <x:v>其他减少</x:v>
      </x:c>
      <x:c r="C73" s="6" t="str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</x:row>
    <x:row r="74" ht="15.5" customHeight="1">
      <x:c r="A74" s="2"/>
      <x:c r="B74" s="2" t="str">
        <x:v>期末余额（披露）</x:v>
      </x:c>
      <x:c r="C74" s="6" t="str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</x:row>
    <x:row r="75" ht="15.5" customHeight="1">
      <x:c r="A75" s="2"/>
      <x:c r="B75" s="2" t="str">
        <x:v>期末余额（计算）</x:v>
      </x:c>
      <x:c r="C75" s="6" t="str"/>
      <x:c r="D75" s="4"/>
      <x:c r="E75" s="4" t="n">
        <x:f>IFERROR(0+(E70+E71-E72-E73),"待填")</x:f>
        <x:v>0</x:v>
      </x:c>
      <x:c r="F75" s="4" t="n">
        <x:f>IFERROR(0+(F70+F71-F72-F73),"待填")</x:f>
        <x:v>0</x:v>
      </x:c>
      <x:c r="G75" s="4" t="n">
        <x:f>IFERROR(0+(G70+G71-G72-G73),"待填")</x:f>
        <x:v>0</x:v>
      </x:c>
      <x:c r="H75" s="4" t="n">
        <x:f>IFERROR(0+(H70+H71-H72-H73),"待填")</x:f>
        <x:v>0</x:v>
      </x:c>
      <x:c r="I75" s="4" t="n">
        <x:f>IFERROR(0+(I70+I71-I72-I73),"待填")</x:f>
        <x:v>0</x:v>
      </x:c>
      <x:c r="J75" s="4" t="n">
        <x:f>IFERROR(0+(J70+J71-J72-J73),"待填")</x:f>
        <x:v>0</x:v>
      </x:c>
      <x:c r="K75" s="4" t="n">
        <x:f>IFERROR(0+(K70+K71-K72-K73),"待填")</x:f>
        <x:v>0</x:v>
      </x:c>
      <x:c r="L75" s="4" t="n">
        <x:f>IFERROR(0+(L70+L71-L72-L73),"待填")</x:f>
        <x:v>0</x:v>
      </x:c>
      <x:c r="M75" s="4" t="n">
        <x:f>IFERROR(0+(M70+M71-M72-M73),"待填")</x:f>
        <x:v>0</x:v>
      </x:c>
      <x:c r="N75" s="4" t="n">
        <x:f>IFERROR(0+(N70+N71-N72-N73),"待填")</x:f>
        <x:v>0</x:v>
      </x:c>
      <x:c r="O75" s="4" t="n">
        <x:f>IFERROR(0+(O70+O71-O72-O73),"待填")</x:f>
        <x:v>0</x:v>
      </x:c>
      <x:c r="P75" s="4" t="n">
        <x:f>IFERROR(0+(P70+P71-P72-P73),"待填")</x:f>
        <x:v>0</x:v>
      </x:c>
      <x:c r="Q75" s="4" t="n">
        <x:f>IFERROR(0+(Q70+Q71-Q72-Q73),"待填")</x:f>
        <x:v>0</x:v>
      </x:c>
      <x:c r="R75" s="4" t="n">
        <x:f>IFERROR(0+(R70+R71-R72-R73),"待填")</x:f>
        <x:v>0</x:v>
      </x:c>
      <x:c r="S75" s="4" t="n">
        <x:f>IFERROR(0+(S70+S71-S72-S73),"待填")</x:f>
        <x:v>0</x:v>
      </x:c>
      <x:c r="T75" s="4" t="n">
        <x:f>IFERROR(0+(T70+T71-T72-T73),"待填")</x:f>
        <x:v>0</x:v>
      </x:c>
      <x:c r="U75" s="4"/>
      <x:c r="V75" s="4"/>
      <x:c r="W75" s="4"/>
    </x:row>
    <x:row r="76" ht="15.5" customHeight="1">
      <x:c r="A76" s="2"/>
      <x:c r="B76" s="29" t="str">
        <x:v>滚动校验</x:v>
      </x:c>
      <x:c r="C76" s="32" t="str"/>
      <x:c r="D76" s="33"/>
      <x:c r="E76" s="33" t="n">
        <x:f>IFERROR(0+(E75-E74),"待填")</x:f>
        <x:v>0</x:v>
      </x:c>
      <x:c r="F76" s="33" t="n">
        <x:f>IFERROR(0+(F75-F74),"待填")</x:f>
        <x:v>0</x:v>
      </x:c>
      <x:c r="G76" s="33" t="n">
        <x:f>IFERROR(0+(G75-G74),"待填")</x:f>
        <x:v>0</x:v>
      </x:c>
      <x:c r="H76" s="33" t="n">
        <x:f>IFERROR(0+(H75-H74),"待填")</x:f>
        <x:v>0</x:v>
      </x:c>
      <x:c r="I76" s="33" t="n">
        <x:f>IFERROR(0+(I75-I74),"待填")</x:f>
        <x:v>0</x:v>
      </x:c>
      <x:c r="J76" s="33" t="n">
        <x:f>IFERROR(0+(J75-J74),"待填")</x:f>
        <x:v>0</x:v>
      </x:c>
      <x:c r="K76" s="33" t="n">
        <x:f>IFERROR(0+(K75-K74),"待填")</x:f>
        <x:v>0</x:v>
      </x:c>
      <x:c r="L76" s="33" t="n">
        <x:f>IFERROR(0+(L75-L74),"待填")</x:f>
        <x:v>0</x:v>
      </x:c>
      <x:c r="M76" s="33" t="n">
        <x:f>IFERROR(0+(M75-M74),"待填")</x:f>
        <x:v>0</x:v>
      </x:c>
      <x:c r="N76" s="33" t="n">
        <x:f>IFERROR(0+(N75-N74),"待填")</x:f>
        <x:v>0</x:v>
      </x:c>
      <x:c r="O76" s="33" t="n">
        <x:f>IFERROR(0+(O75-O74),"待填")</x:f>
        <x:v>0</x:v>
      </x:c>
      <x:c r="P76" s="33" t="n">
        <x:f>IFERROR(0+(P75-P74),"待填")</x:f>
        <x:v>0</x:v>
      </x:c>
      <x:c r="Q76" s="33" t="n">
        <x:f>IFERROR(0+(Q75-Q74),"待填")</x:f>
        <x:v>0</x:v>
      </x:c>
      <x:c r="R76" s="33" t="n">
        <x:f>IFERROR(0+(R75-R74),"待填")</x:f>
        <x:v>0</x:v>
      </x:c>
      <x:c r="S76" s="33" t="n">
        <x:f>IFERROR(0+(S75-S74),"待填")</x:f>
        <x:v>0</x:v>
      </x:c>
      <x:c r="T76" s="33" t="n">
        <x:f>IFERROR(0+(T75-T74),"待填")</x:f>
        <x:v>0</x:v>
      </x:c>
      <x:c r="U76" s="33"/>
      <x:c r="V76" s="33"/>
      <x:c r="W76" s="33"/>
    </x:row>
    <x:row r="77" ht="15.5" customHeight="1">
      <x:c r="A77" s="2"/>
      <x:c r="B77" s="2" t="str">
        <x:v>转固率</x:v>
      </x:c>
      <x:c r="C77" s="46" t="str"/>
      <x:c r="D77" s="85"/>
      <x:c r="E77" s="85" t="n">
        <x:f>IFERROR(0+(IF((E70+E71)=0,0,E72/(E70+E71))),"待填")</x:f>
        <x:v>0</x:v>
      </x:c>
      <x:c r="F77" s="85" t="n">
        <x:f>IFERROR(0+(IF((F70+F71)=0,0,F72/(F70+F71))),"待填")</x:f>
        <x:v>0</x:v>
      </x:c>
      <x:c r="G77" s="85" t="n">
        <x:f>IFERROR(0+(IF((G70+G71)=0,0,G72/(G70+G71))),"待填")</x:f>
        <x:v>0</x:v>
      </x:c>
      <x:c r="H77" s="85" t="n">
        <x:f>IFERROR(0+(IF((H70+H71)=0,0,H72/(H70+H71))),"待填")</x:f>
        <x:v>0</x:v>
      </x:c>
      <x:c r="I77" s="85" t="n">
        <x:f>IFERROR(0+(IF((I70+I71)=0,0,I72/(I70+I71))),"待填")</x:f>
        <x:v>0</x:v>
      </x:c>
      <x:c r="J77" s="85" t="n">
        <x:f>IFERROR(0+(IF((J70+J71)=0,0,J72/(J70+J71))),"待填")</x:f>
        <x:v>0</x:v>
      </x:c>
      <x:c r="K77" s="85" t="n">
        <x:f>IFERROR(0+(IF((K70+K71)=0,0,K72/(K70+K71))),"待填")</x:f>
        <x:v>0</x:v>
      </x:c>
      <x:c r="L77" s="85" t="n">
        <x:f>IFERROR(0+(IF((L70+L71)=0,0,L72/(L70+L71))),"待填")</x:f>
        <x:v>0</x:v>
      </x:c>
      <x:c r="M77" s="85" t="n">
        <x:f>IFERROR(0+(IF((M70+M71)=0,0,M72/(M70+M71))),"待填")</x:f>
        <x:v>0</x:v>
      </x:c>
      <x:c r="N77" s="85" t="n">
        <x:f>IFERROR(0+(IF((N70+N71)=0,0,N72/(N70+N71))),"待填")</x:f>
        <x:v>0</x:v>
      </x:c>
      <x:c r="O77" s="85" t="n">
        <x:f>IFERROR(0+(IF((O70+O71)=0,0,O72/(O70+O71))),"待填")</x:f>
        <x:v>0</x:v>
      </x:c>
      <x:c r="P77" s="85" t="n">
        <x:f>IFERROR(0+(IF((P70+P71)=0,0,P72/(P70+P71))),"待填")</x:f>
        <x:v>0</x:v>
      </x:c>
      <x:c r="Q77" s="85" t="n">
        <x:f>IFERROR(0+(IF((Q70+Q71)=0,0,Q72/(Q70+Q71))),"待填")</x:f>
        <x:v>0</x:v>
      </x:c>
      <x:c r="R77" s="85" t="n">
        <x:f>IFERROR(0+(IF((R70+R71)=0,0,R72/(R70+R71))),"待填")</x:f>
        <x:v>0</x:v>
      </x:c>
      <x:c r="S77" s="85" t="n">
        <x:f>IFERROR(0+(IF((S70+S71)=0,0,S72/(S70+S71))),"待填")</x:f>
        <x:v>0</x:v>
      </x:c>
      <x:c r="T77" s="85" t="n">
        <x:f>IFERROR(0+(IF((T70+T71)=0,0,T72/(T70+T71))),"待填")</x:f>
        <x:v>0</x:v>
      </x:c>
      <x:c r="U77" s="85"/>
      <x:c r="V77" s="85"/>
      <x:c r="W77" s="85"/>
    </x:row>
    <x:row r="78" ht="21" customHeight="1">
      <x:c r="A78" s="2"/>
      <x:c r="B78" s="25" t="str">
        <x:v>示例项目7</x:v>
      </x:c>
      <x:c r="C78" s="26" t="str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</x:row>
    <x:row r="79" ht="15.5" customHeight="1">
      <x:c r="A79" s="2"/>
      <x:c r="B79" s="2" t="str">
        <x:v>期初余额</x:v>
      </x:c>
      <x:c r="C79" s="6" t="str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</x:row>
    <x:row r="80" ht="15.5" customHeight="1">
      <x:c r="A80" s="2"/>
      <x:c r="B80" s="2" t="str">
        <x:v>本期增加</x:v>
      </x:c>
      <x:c r="C80" s="6" t="str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</x:row>
    <x:row r="81" ht="15.5" customHeight="1">
      <x:c r="A81" s="2"/>
      <x:c r="B81" s="2" t="str">
        <x:v>转入固定资产</x:v>
      </x:c>
      <x:c r="C81" s="6" t="str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</x:row>
    <x:row r="82" ht="15.5" customHeight="1">
      <x:c r="A82" s="2"/>
      <x:c r="B82" s="2" t="str">
        <x:v>其他减少</x:v>
      </x:c>
      <x:c r="C82" s="6" t="str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</x:row>
    <x:row r="83" ht="15.5" customHeight="1">
      <x:c r="A83" s="2"/>
      <x:c r="B83" s="2" t="str">
        <x:v>期末余额（披露）</x:v>
      </x:c>
      <x:c r="C83" s="6" t="str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</x:row>
    <x:row r="84" ht="15.5" customHeight="1">
      <x:c r="A84" s="2"/>
      <x:c r="B84" s="2" t="str">
        <x:v>期末余额（计算）</x:v>
      </x:c>
      <x:c r="C84" s="6" t="str"/>
      <x:c r="D84" s="4"/>
      <x:c r="E84" s="4" t="n">
        <x:f>IFERROR(0+(E79+E80-E81-E82),"待填")</x:f>
        <x:v>0</x:v>
      </x:c>
      <x:c r="F84" s="4" t="n">
        <x:f>IFERROR(0+(F79+F80-F81-F82),"待填")</x:f>
        <x:v>0</x:v>
      </x:c>
      <x:c r="G84" s="4" t="n">
        <x:f>IFERROR(0+(G79+G80-G81-G82),"待填")</x:f>
        <x:v>0</x:v>
      </x:c>
      <x:c r="H84" s="4" t="n">
        <x:f>IFERROR(0+(H79+H80-H81-H82),"待填")</x:f>
        <x:v>0</x:v>
      </x:c>
      <x:c r="I84" s="4" t="n">
        <x:f>IFERROR(0+(I79+I80-I81-I82),"待填")</x:f>
        <x:v>0</x:v>
      </x:c>
      <x:c r="J84" s="4" t="n">
        <x:f>IFERROR(0+(J79+J80-J81-J82),"待填")</x:f>
        <x:v>0</x:v>
      </x:c>
      <x:c r="K84" s="4" t="n">
        <x:f>IFERROR(0+(K79+K80-K81-K82),"待填")</x:f>
        <x:v>0</x:v>
      </x:c>
      <x:c r="L84" s="4" t="n">
        <x:f>IFERROR(0+(L79+L80-L81-L82),"待填")</x:f>
        <x:v>0</x:v>
      </x:c>
      <x:c r="M84" s="4" t="n">
        <x:f>IFERROR(0+(M79+M80-M81-M82),"待填")</x:f>
        <x:v>0</x:v>
      </x:c>
      <x:c r="N84" s="4" t="n">
        <x:f>IFERROR(0+(N79+N80-N81-N82),"待填")</x:f>
        <x:v>0</x:v>
      </x:c>
      <x:c r="O84" s="4" t="n">
        <x:f>IFERROR(0+(O79+O80-O81-O82),"待填")</x:f>
        <x:v>0</x:v>
      </x:c>
      <x:c r="P84" s="4" t="n">
        <x:f>IFERROR(0+(P79+P80-P81-P82),"待填")</x:f>
        <x:v>0</x:v>
      </x:c>
      <x:c r="Q84" s="4" t="n">
        <x:f>IFERROR(0+(Q79+Q80-Q81-Q82),"待填")</x:f>
        <x:v>0</x:v>
      </x:c>
      <x:c r="R84" s="4" t="n">
        <x:f>IFERROR(0+(R79+R80-R81-R82),"待填")</x:f>
        <x:v>0</x:v>
      </x:c>
      <x:c r="S84" s="4" t="n">
        <x:f>IFERROR(0+(S79+S80-S81-S82),"待填")</x:f>
        <x:v>0</x:v>
      </x:c>
      <x:c r="T84" s="4" t="n">
        <x:f>IFERROR(0+(T79+T80-T81-T82),"待填")</x:f>
        <x:v>0</x:v>
      </x:c>
      <x:c r="U84" s="4"/>
      <x:c r="V84" s="4"/>
      <x:c r="W84" s="4"/>
    </x:row>
    <x:row r="85" ht="15.5" customHeight="1">
      <x:c r="A85" s="2"/>
      <x:c r="B85" s="29" t="str">
        <x:v>滚动校验</x:v>
      </x:c>
      <x:c r="C85" s="32" t="str"/>
      <x:c r="D85" s="33"/>
      <x:c r="E85" s="33" t="n">
        <x:f>IFERROR(0+(E84-E83),"待填")</x:f>
        <x:v>0</x:v>
      </x:c>
      <x:c r="F85" s="33" t="n">
        <x:f>IFERROR(0+(F84-F83),"待填")</x:f>
        <x:v>0</x:v>
      </x:c>
      <x:c r="G85" s="33" t="n">
        <x:f>IFERROR(0+(G84-G83),"待填")</x:f>
        <x:v>0</x:v>
      </x:c>
      <x:c r="H85" s="33" t="n">
        <x:f>IFERROR(0+(H84-H83),"待填")</x:f>
        <x:v>0</x:v>
      </x:c>
      <x:c r="I85" s="33" t="n">
        <x:f>IFERROR(0+(I84-I83),"待填")</x:f>
        <x:v>0</x:v>
      </x:c>
      <x:c r="J85" s="33" t="n">
        <x:f>IFERROR(0+(J84-J83),"待填")</x:f>
        <x:v>0</x:v>
      </x:c>
      <x:c r="K85" s="33" t="n">
        <x:f>IFERROR(0+(K84-K83),"待填")</x:f>
        <x:v>0</x:v>
      </x:c>
      <x:c r="L85" s="33" t="n">
        <x:f>IFERROR(0+(L84-L83),"待填")</x:f>
        <x:v>0</x:v>
      </x:c>
      <x:c r="M85" s="33" t="n">
        <x:f>IFERROR(0+(M84-M83),"待填")</x:f>
        <x:v>0</x:v>
      </x:c>
      <x:c r="N85" s="33" t="n">
        <x:f>IFERROR(0+(N84-N83),"待填")</x:f>
        <x:v>0</x:v>
      </x:c>
      <x:c r="O85" s="33" t="n">
        <x:f>IFERROR(0+(O84-O83),"待填")</x:f>
        <x:v>0</x:v>
      </x:c>
      <x:c r="P85" s="33" t="n">
        <x:f>IFERROR(0+(P84-P83),"待填")</x:f>
        <x:v>0</x:v>
      </x:c>
      <x:c r="Q85" s="33" t="n">
        <x:f>IFERROR(0+(Q84-Q83),"待填")</x:f>
        <x:v>0</x:v>
      </x:c>
      <x:c r="R85" s="33" t="n">
        <x:f>IFERROR(0+(R84-R83),"待填")</x:f>
        <x:v>0</x:v>
      </x:c>
      <x:c r="S85" s="33" t="n">
        <x:f>IFERROR(0+(S84-S83),"待填")</x:f>
        <x:v>0</x:v>
      </x:c>
      <x:c r="T85" s="33" t="n">
        <x:f>IFERROR(0+(T84-T83),"待填")</x:f>
        <x:v>0</x:v>
      </x:c>
      <x:c r="U85" s="33"/>
      <x:c r="V85" s="33"/>
      <x:c r="W85" s="33"/>
    </x:row>
    <x:row r="86" ht="15.5" customHeight="1">
      <x:c r="A86" s="2"/>
      <x:c r="B86" s="2" t="str">
        <x:v>转固率</x:v>
      </x:c>
      <x:c r="C86" s="46" t="str"/>
      <x:c r="D86" s="85"/>
      <x:c r="E86" s="85" t="n">
        <x:f>IFERROR(0+(IF((E79+E80)=0,0,E81/(E79+E80))),"待填")</x:f>
        <x:v>0</x:v>
      </x:c>
      <x:c r="F86" s="85" t="n">
        <x:f>IFERROR(0+(IF((F79+F80)=0,0,F81/(F79+F80))),"待填")</x:f>
        <x:v>0</x:v>
      </x:c>
      <x:c r="G86" s="85" t="n">
        <x:f>IFERROR(0+(IF((G79+G80)=0,0,G81/(G79+G80))),"待填")</x:f>
        <x:v>0</x:v>
      </x:c>
      <x:c r="H86" s="85" t="n">
        <x:f>IFERROR(0+(IF((H79+H80)=0,0,H81/(H79+H80))),"待填")</x:f>
        <x:v>0</x:v>
      </x:c>
      <x:c r="I86" s="85" t="n">
        <x:f>IFERROR(0+(IF((I79+I80)=0,0,I81/(I79+I80))),"待填")</x:f>
        <x:v>0</x:v>
      </x:c>
      <x:c r="J86" s="85" t="n">
        <x:f>IFERROR(0+(IF((J79+J80)=0,0,J81/(J79+J80))),"待填")</x:f>
        <x:v>0</x:v>
      </x:c>
      <x:c r="K86" s="85" t="n">
        <x:f>IFERROR(0+(IF((K79+K80)=0,0,K81/(K79+K80))),"待填")</x:f>
        <x:v>0</x:v>
      </x:c>
      <x:c r="L86" s="85" t="n">
        <x:f>IFERROR(0+(IF((L79+L80)=0,0,L81/(L79+L80))),"待填")</x:f>
        <x:v>0</x:v>
      </x:c>
      <x:c r="M86" s="85" t="n">
        <x:f>IFERROR(0+(IF((M79+M80)=0,0,M81/(M79+M80))),"待填")</x:f>
        <x:v>0</x:v>
      </x:c>
      <x:c r="N86" s="85" t="n">
        <x:f>IFERROR(0+(IF((N79+N80)=0,0,N81/(N79+N80))),"待填")</x:f>
        <x:v>0</x:v>
      </x:c>
      <x:c r="O86" s="85" t="n">
        <x:f>IFERROR(0+(IF((O79+O80)=0,0,O81/(O79+O80))),"待填")</x:f>
        <x:v>0</x:v>
      </x:c>
      <x:c r="P86" s="85" t="n">
        <x:f>IFERROR(0+(IF((P79+P80)=0,0,P81/(P79+P80))),"待填")</x:f>
        <x:v>0</x:v>
      </x:c>
      <x:c r="Q86" s="85" t="n">
        <x:f>IFERROR(0+(IF((Q79+Q80)=0,0,Q81/(Q79+Q80))),"待填")</x:f>
        <x:v>0</x:v>
      </x:c>
      <x:c r="R86" s="85" t="n">
        <x:f>IFERROR(0+(IF((R79+R80)=0,0,R81/(R79+R80))),"待填")</x:f>
        <x:v>0</x:v>
      </x:c>
      <x:c r="S86" s="85" t="n">
        <x:f>IFERROR(0+(IF((S79+S80)=0,0,S81/(S79+S80))),"待填")</x:f>
        <x:v>0</x:v>
      </x:c>
      <x:c r="T86" s="85" t="n">
        <x:f>IFERROR(0+(IF((T79+T80)=0,0,T81/(T79+T80))),"待填")</x:f>
        <x:v>0</x:v>
      </x:c>
      <x:c r="U86" s="85"/>
      <x:c r="V86" s="85"/>
      <x:c r="W86" s="85"/>
    </x:row>
    <x:row r="87" ht="21" customHeight="1">
      <x:c r="A87" s="2"/>
      <x:c r="B87" s="25" t="str">
        <x:v>示例项目8</x:v>
      </x:c>
      <x:c r="C87" s="26" t="str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</x:row>
    <x:row r="88" ht="15.5" customHeight="1">
      <x:c r="A88" s="2"/>
      <x:c r="B88" s="2" t="str">
        <x:v>期初余额</x:v>
      </x:c>
      <x:c r="C88" s="6" t="str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</x:row>
    <x:row r="89" ht="15.5" customHeight="1">
      <x:c r="A89" s="2"/>
      <x:c r="B89" s="2" t="str">
        <x:v>本期增加</x:v>
      </x:c>
      <x:c r="C89" s="6" t="str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</x:row>
    <x:row r="90" ht="15.5" customHeight="1">
      <x:c r="A90" s="2"/>
      <x:c r="B90" s="2" t="str">
        <x:v>转入固定资产</x:v>
      </x:c>
      <x:c r="C90" s="6" t="str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</x:row>
    <x:row r="91" ht="15.5" customHeight="1">
      <x:c r="A91" s="2"/>
      <x:c r="B91" s="2" t="str">
        <x:v>其他减少</x:v>
      </x:c>
      <x:c r="C91" s="6" t="str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</x:row>
    <x:row r="92" ht="15.5" customHeight="1">
      <x:c r="A92" s="2"/>
      <x:c r="B92" s="2" t="str">
        <x:v>期末余额（披露）</x:v>
      </x:c>
      <x:c r="C92" s="6" t="str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</x:row>
    <x:row r="93" ht="15.5" customHeight="1">
      <x:c r="A93" s="2"/>
      <x:c r="B93" s="2" t="str">
        <x:v>期末余额（计算）</x:v>
      </x:c>
      <x:c r="C93" s="6" t="str"/>
      <x:c r="D93" s="4"/>
      <x:c r="E93" s="4" t="n">
        <x:f>IFERROR(0+(E88+E89-E90-E91),"待填")</x:f>
        <x:v>0</x:v>
      </x:c>
      <x:c r="F93" s="4" t="n">
        <x:f>IFERROR(0+(F88+F89-F90-F91),"待填")</x:f>
        <x:v>0</x:v>
      </x:c>
      <x:c r="G93" s="4" t="n">
        <x:f>IFERROR(0+(G88+G89-G90-G91),"待填")</x:f>
        <x:v>0</x:v>
      </x:c>
      <x:c r="H93" s="4" t="n">
        <x:f>IFERROR(0+(H88+H89-H90-H91),"待填")</x:f>
        <x:v>0</x:v>
      </x:c>
      <x:c r="I93" s="4" t="n">
        <x:f>IFERROR(0+(I88+I89-I90-I91),"待填")</x:f>
        <x:v>0</x:v>
      </x:c>
      <x:c r="J93" s="4" t="n">
        <x:f>IFERROR(0+(J88+J89-J90-J91),"待填")</x:f>
        <x:v>0</x:v>
      </x:c>
      <x:c r="K93" s="4" t="n">
        <x:f>IFERROR(0+(K88+K89-K90-K91),"待填")</x:f>
        <x:v>0</x:v>
      </x:c>
      <x:c r="L93" s="4" t="n">
        <x:f>IFERROR(0+(L88+L89-L90-L91),"待填")</x:f>
        <x:v>0</x:v>
      </x:c>
      <x:c r="M93" s="4" t="n">
        <x:f>IFERROR(0+(M88+M89-M90-M91),"待填")</x:f>
        <x:v>0</x:v>
      </x:c>
      <x:c r="N93" s="4" t="n">
        <x:f>IFERROR(0+(N88+N89-N90-N91),"待填")</x:f>
        <x:v>0</x:v>
      </x:c>
      <x:c r="O93" s="4" t="n">
        <x:f>IFERROR(0+(O88+O89-O90-O91),"待填")</x:f>
        <x:v>0</x:v>
      </x:c>
      <x:c r="P93" s="4" t="n">
        <x:f>IFERROR(0+(P88+P89-P90-P91),"待填")</x:f>
        <x:v>0</x:v>
      </x:c>
      <x:c r="Q93" s="4" t="n">
        <x:f>IFERROR(0+(Q88+Q89-Q90-Q91),"待填")</x:f>
        <x:v>0</x:v>
      </x:c>
      <x:c r="R93" s="4" t="n">
        <x:f>IFERROR(0+(R88+R89-R90-R91),"待填")</x:f>
        <x:v>0</x:v>
      </x:c>
      <x:c r="S93" s="4" t="n">
        <x:f>IFERROR(0+(S88+S89-S90-S91),"待填")</x:f>
        <x:v>0</x:v>
      </x:c>
      <x:c r="T93" s="4" t="n">
        <x:f>IFERROR(0+(T88+T89-T90-T91),"待填")</x:f>
        <x:v>0</x:v>
      </x:c>
      <x:c r="U93" s="4"/>
      <x:c r="V93" s="4"/>
      <x:c r="W93" s="4"/>
    </x:row>
    <x:row r="94" ht="15.5" customHeight="1">
      <x:c r="A94" s="2"/>
      <x:c r="B94" s="29" t="str">
        <x:v>滚动校验</x:v>
      </x:c>
      <x:c r="C94" s="32" t="str"/>
      <x:c r="D94" s="33"/>
      <x:c r="E94" s="33" t="n">
        <x:f>IFERROR(0+(E93-E92),"待填")</x:f>
        <x:v>0</x:v>
      </x:c>
      <x:c r="F94" s="33" t="n">
        <x:f>IFERROR(0+(F93-F92),"待填")</x:f>
        <x:v>0</x:v>
      </x:c>
      <x:c r="G94" s="33" t="n">
        <x:f>IFERROR(0+(G93-G92),"待填")</x:f>
        <x:v>0</x:v>
      </x:c>
      <x:c r="H94" s="33" t="n">
        <x:f>IFERROR(0+(H93-H92),"待填")</x:f>
        <x:v>0</x:v>
      </x:c>
      <x:c r="I94" s="33" t="n">
        <x:f>IFERROR(0+(I93-I92),"待填")</x:f>
        <x:v>0</x:v>
      </x:c>
      <x:c r="J94" s="33" t="n">
        <x:f>IFERROR(0+(J93-J92),"待填")</x:f>
        <x:v>0</x:v>
      </x:c>
      <x:c r="K94" s="33" t="n">
        <x:f>IFERROR(0+(K93-K92),"待填")</x:f>
        <x:v>0</x:v>
      </x:c>
      <x:c r="L94" s="33" t="n">
        <x:f>IFERROR(0+(L93-L92),"待填")</x:f>
        <x:v>0</x:v>
      </x:c>
      <x:c r="M94" s="33" t="n">
        <x:f>IFERROR(0+(M93-M92),"待填")</x:f>
        <x:v>0</x:v>
      </x:c>
      <x:c r="N94" s="33" t="n">
        <x:f>IFERROR(0+(N93-N92),"待填")</x:f>
        <x:v>0</x:v>
      </x:c>
      <x:c r="O94" s="33" t="n">
        <x:f>IFERROR(0+(O93-O92),"待填")</x:f>
        <x:v>0</x:v>
      </x:c>
      <x:c r="P94" s="33" t="n">
        <x:f>IFERROR(0+(P93-P92),"待填")</x:f>
        <x:v>0</x:v>
      </x:c>
      <x:c r="Q94" s="33" t="n">
        <x:f>IFERROR(0+(Q93-Q92),"待填")</x:f>
        <x:v>0</x:v>
      </x:c>
      <x:c r="R94" s="33" t="n">
        <x:f>IFERROR(0+(R93-R92),"待填")</x:f>
        <x:v>0</x:v>
      </x:c>
      <x:c r="S94" s="33" t="n">
        <x:f>IFERROR(0+(S93-S92),"待填")</x:f>
        <x:v>0</x:v>
      </x:c>
      <x:c r="T94" s="33" t="n">
        <x:f>IFERROR(0+(T93-T92),"待填")</x:f>
        <x:v>0</x:v>
      </x:c>
      <x:c r="U94" s="33"/>
      <x:c r="V94" s="33"/>
      <x:c r="W94" s="33"/>
    </x:row>
    <x:row r="95" ht="15.5" customHeight="1">
      <x:c r="A95" s="2"/>
      <x:c r="B95" s="2" t="str">
        <x:v>转固率</x:v>
      </x:c>
      <x:c r="C95" s="46" t="str"/>
      <x:c r="D95" s="85"/>
      <x:c r="E95" s="85" t="n">
        <x:f>IFERROR(0+(IF((E88+E89)=0,0,E90/(E88+E89))),"待填")</x:f>
        <x:v>0</x:v>
      </x:c>
      <x:c r="F95" s="85" t="n">
        <x:f>IFERROR(0+(IF((F88+F89)=0,0,F90/(F88+F89))),"待填")</x:f>
        <x:v>0</x:v>
      </x:c>
      <x:c r="G95" s="85" t="n">
        <x:f>IFERROR(0+(IF((G88+G89)=0,0,G90/(G88+G89))),"待填")</x:f>
        <x:v>0</x:v>
      </x:c>
      <x:c r="H95" s="85" t="n">
        <x:f>IFERROR(0+(IF((H88+H89)=0,0,H90/(H88+H89))),"待填")</x:f>
        <x:v>0</x:v>
      </x:c>
      <x:c r="I95" s="85" t="n">
        <x:f>IFERROR(0+(IF((I88+I89)=0,0,I90/(I88+I89))),"待填")</x:f>
        <x:v>0</x:v>
      </x:c>
      <x:c r="J95" s="85" t="n">
        <x:f>IFERROR(0+(IF((J88+J89)=0,0,J90/(J88+J89))),"待填")</x:f>
        <x:v>0</x:v>
      </x:c>
      <x:c r="K95" s="85" t="n">
        <x:f>IFERROR(0+(IF((K88+K89)=0,0,K90/(K88+K89))),"待填")</x:f>
        <x:v>0</x:v>
      </x:c>
      <x:c r="L95" s="85" t="n">
        <x:f>IFERROR(0+(IF((L88+L89)=0,0,L90/(L88+L89))),"待填")</x:f>
        <x:v>0</x:v>
      </x:c>
      <x:c r="M95" s="85" t="n">
        <x:f>IFERROR(0+(IF((M88+M89)=0,0,M90/(M88+M89))),"待填")</x:f>
        <x:v>0</x:v>
      </x:c>
      <x:c r="N95" s="85" t="n">
        <x:f>IFERROR(0+(IF((N88+N89)=0,0,N90/(N88+N89))),"待填")</x:f>
        <x:v>0</x:v>
      </x:c>
      <x:c r="O95" s="85" t="n">
        <x:f>IFERROR(0+(IF((O88+O89)=0,0,O90/(O88+O89))),"待填")</x:f>
        <x:v>0</x:v>
      </x:c>
      <x:c r="P95" s="85" t="n">
        <x:f>IFERROR(0+(IF((P88+P89)=0,0,P90/(P88+P89))),"待填")</x:f>
        <x:v>0</x:v>
      </x:c>
      <x:c r="Q95" s="85" t="n">
        <x:f>IFERROR(0+(IF((Q88+Q89)=0,0,Q90/(Q88+Q89))),"待填")</x:f>
        <x:v>0</x:v>
      </x:c>
      <x:c r="R95" s="85" t="n">
        <x:f>IFERROR(0+(IF((R88+R89)=0,0,R90/(R88+R89))),"待填")</x:f>
        <x:v>0</x:v>
      </x:c>
      <x:c r="S95" s="85" t="n">
        <x:f>IFERROR(0+(IF((S88+S89)=0,0,S90/(S88+S89))),"待填")</x:f>
        <x:v>0</x:v>
      </x:c>
      <x:c r="T95" s="85" t="n">
        <x:f>IFERROR(0+(IF((T88+T89)=0,0,T90/(T88+T89))),"待填")</x:f>
        <x:v>0</x:v>
      </x:c>
      <x:c r="U95" s="85"/>
      <x:c r="V95" s="85"/>
      <x:c r="W95" s="85"/>
    </x:row>
    <x:row r="96" ht="21" customHeight="1">
      <x:c r="A96" s="2"/>
      <x:c r="B96" s="25" t="str">
        <x:v>示例项目9</x:v>
      </x:c>
      <x:c r="C96" s="26" t="str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</x:row>
    <x:row r="97" ht="15.5" customHeight="1">
      <x:c r="A97" s="2"/>
      <x:c r="B97" s="2" t="str">
        <x:v>期初余额</x:v>
      </x:c>
      <x:c r="C97" s="6" t="str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</x:row>
    <x:row r="98" ht="15.5" customHeight="1">
      <x:c r="A98" s="2"/>
      <x:c r="B98" s="2" t="str">
        <x:v>本期增加</x:v>
      </x:c>
      <x:c r="C98" s="6" t="str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</x:row>
    <x:row r="99" ht="15.5" customHeight="1">
      <x:c r="A99" s="2"/>
      <x:c r="B99" s="2" t="str">
        <x:v>转入固定资产</x:v>
      </x:c>
      <x:c r="C99" s="6" t="str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</x:row>
    <x:row r="100" ht="15.5" customHeight="1">
      <x:c r="A100" s="2"/>
      <x:c r="B100" s="2" t="str">
        <x:v>其他减少</x:v>
      </x:c>
      <x:c r="C100" s="6" t="str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</x:row>
    <x:row r="101" ht="15.5" customHeight="1">
      <x:c r="A101" s="2"/>
      <x:c r="B101" s="2" t="str">
        <x:v>期末余额（披露）</x:v>
      </x:c>
      <x:c r="C101" s="6" t="str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</x:row>
    <x:row r="102" ht="15.5" customHeight="1">
      <x:c r="A102" s="2"/>
      <x:c r="B102" s="2" t="str">
        <x:v>期末余额（计算）</x:v>
      </x:c>
      <x:c r="C102" s="6" t="str"/>
      <x:c r="D102" s="4"/>
      <x:c r="E102" s="4" t="n">
        <x:f>IFERROR(0+(E97+E98-E99-E100),"待填")</x:f>
        <x:v>0</x:v>
      </x:c>
      <x:c r="F102" s="4" t="n">
        <x:f>IFERROR(0+(F97+F98-F99-F100),"待填")</x:f>
        <x:v>0</x:v>
      </x:c>
      <x:c r="G102" s="4" t="n">
        <x:f>IFERROR(0+(G97+G98-G99-G100),"待填")</x:f>
        <x:v>0</x:v>
      </x:c>
      <x:c r="H102" s="4" t="n">
        <x:f>IFERROR(0+(H97+H98-H99-H100),"待填")</x:f>
        <x:v>0</x:v>
      </x:c>
      <x:c r="I102" s="4" t="n">
        <x:f>IFERROR(0+(I97+I98-I99-I100),"待填")</x:f>
        <x:v>0</x:v>
      </x:c>
      <x:c r="J102" s="4" t="n">
        <x:f>IFERROR(0+(J97+J98-J99-J100),"待填")</x:f>
        <x:v>0</x:v>
      </x:c>
      <x:c r="K102" s="4" t="n">
        <x:f>IFERROR(0+(K97+K98-K99-K100),"待填")</x:f>
        <x:v>0</x:v>
      </x:c>
      <x:c r="L102" s="4" t="n">
        <x:f>IFERROR(0+(L97+L98-L99-L100),"待填")</x:f>
        <x:v>0</x:v>
      </x:c>
      <x:c r="M102" s="4" t="n">
        <x:f>IFERROR(0+(M97+M98-M99-M100),"待填")</x:f>
        <x:v>0</x:v>
      </x:c>
      <x:c r="N102" s="4" t="n">
        <x:f>IFERROR(0+(N97+N98-N99-N100),"待填")</x:f>
        <x:v>0</x:v>
      </x:c>
      <x:c r="O102" s="4" t="n">
        <x:f>IFERROR(0+(O97+O98-O99-O100),"待填")</x:f>
        <x:v>0</x:v>
      </x:c>
      <x:c r="P102" s="4" t="n">
        <x:f>IFERROR(0+(P97+P98-P99-P100),"待填")</x:f>
        <x:v>0</x:v>
      </x:c>
      <x:c r="Q102" s="4" t="n">
        <x:f>IFERROR(0+(Q97+Q98-Q99-Q100),"待填")</x:f>
        <x:v>0</x:v>
      </x:c>
      <x:c r="R102" s="4" t="n">
        <x:f>IFERROR(0+(R97+R98-R99-R100),"待填")</x:f>
        <x:v>0</x:v>
      </x:c>
      <x:c r="S102" s="4" t="n">
        <x:f>IFERROR(0+(S97+S98-S99-S100),"待填")</x:f>
        <x:v>0</x:v>
      </x:c>
      <x:c r="T102" s="4" t="n">
        <x:f>IFERROR(0+(T97+T98-T99-T100),"待填")</x:f>
        <x:v>0</x:v>
      </x:c>
      <x:c r="U102" s="4"/>
      <x:c r="V102" s="4"/>
      <x:c r="W102" s="4"/>
    </x:row>
    <x:row r="103" ht="15.5" customHeight="1">
      <x:c r="A103" s="2"/>
      <x:c r="B103" s="29" t="str">
        <x:v>滚动校验</x:v>
      </x:c>
      <x:c r="C103" s="32" t="str"/>
      <x:c r="D103" s="33"/>
      <x:c r="E103" s="33" t="n">
        <x:f>IFERROR(0+(E102-E101),"待填")</x:f>
        <x:v>0</x:v>
      </x:c>
      <x:c r="F103" s="33" t="n">
        <x:f>IFERROR(0+(F102-F101),"待填")</x:f>
        <x:v>0</x:v>
      </x:c>
      <x:c r="G103" s="33" t="n">
        <x:f>IFERROR(0+(G102-G101),"待填")</x:f>
        <x:v>0</x:v>
      </x:c>
      <x:c r="H103" s="33" t="n">
        <x:f>IFERROR(0+(H102-H101),"待填")</x:f>
        <x:v>0</x:v>
      </x:c>
      <x:c r="I103" s="33" t="n">
        <x:f>IFERROR(0+(I102-I101),"待填")</x:f>
        <x:v>0</x:v>
      </x:c>
      <x:c r="J103" s="33" t="n">
        <x:f>IFERROR(0+(J102-J101),"待填")</x:f>
        <x:v>0</x:v>
      </x:c>
      <x:c r="K103" s="33" t="n">
        <x:f>IFERROR(0+(K102-K101),"待填")</x:f>
        <x:v>0</x:v>
      </x:c>
      <x:c r="L103" s="33" t="n">
        <x:f>IFERROR(0+(L102-L101),"待填")</x:f>
        <x:v>0</x:v>
      </x:c>
      <x:c r="M103" s="33" t="n">
        <x:f>IFERROR(0+(M102-M101),"待填")</x:f>
        <x:v>0</x:v>
      </x:c>
      <x:c r="N103" s="33" t="n">
        <x:f>IFERROR(0+(N102-N101),"待填")</x:f>
        <x:v>0</x:v>
      </x:c>
      <x:c r="O103" s="33" t="n">
        <x:f>IFERROR(0+(O102-O101),"待填")</x:f>
        <x:v>0</x:v>
      </x:c>
      <x:c r="P103" s="33" t="n">
        <x:f>IFERROR(0+(P102-P101),"待填")</x:f>
        <x:v>0</x:v>
      </x:c>
      <x:c r="Q103" s="33" t="n">
        <x:f>IFERROR(0+(Q102-Q101),"待填")</x:f>
        <x:v>0</x:v>
      </x:c>
      <x:c r="R103" s="33" t="n">
        <x:f>IFERROR(0+(R102-R101),"待填")</x:f>
        <x:v>0</x:v>
      </x:c>
      <x:c r="S103" s="33" t="n">
        <x:f>IFERROR(0+(S102-S101),"待填")</x:f>
        <x:v>0</x:v>
      </x:c>
      <x:c r="T103" s="33" t="n">
        <x:f>IFERROR(0+(T102-T101),"待填")</x:f>
        <x:v>0</x:v>
      </x:c>
      <x:c r="U103" s="33"/>
      <x:c r="V103" s="33"/>
      <x:c r="W103" s="33"/>
    </x:row>
    <x:row r="104" ht="15.5" customHeight="1">
      <x:c r="A104" s="2"/>
      <x:c r="B104" s="2" t="str">
        <x:v>转固率</x:v>
      </x:c>
      <x:c r="C104" s="46" t="str"/>
      <x:c r="D104" s="85"/>
      <x:c r="E104" s="85" t="n">
        <x:f>IFERROR(0+(IF((E97+E98)=0,0,E99/(E97+E98))),"待填")</x:f>
        <x:v>0</x:v>
      </x:c>
      <x:c r="F104" s="85" t="n">
        <x:f>IFERROR(0+(IF((F97+F98)=0,0,F99/(F97+F98))),"待填")</x:f>
        <x:v>0</x:v>
      </x:c>
      <x:c r="G104" s="85" t="n">
        <x:f>IFERROR(0+(IF((G97+G98)=0,0,G99/(G97+G98))),"待填")</x:f>
        <x:v>0</x:v>
      </x:c>
      <x:c r="H104" s="85" t="n">
        <x:f>IFERROR(0+(IF((H97+H98)=0,0,H99/(H97+H98))),"待填")</x:f>
        <x:v>0</x:v>
      </x:c>
      <x:c r="I104" s="85" t="n">
        <x:f>IFERROR(0+(IF((I97+I98)=0,0,I99/(I97+I98))),"待填")</x:f>
        <x:v>0</x:v>
      </x:c>
      <x:c r="J104" s="85" t="n">
        <x:f>IFERROR(0+(IF((J97+J98)=0,0,J99/(J97+J98))),"待填")</x:f>
        <x:v>0</x:v>
      </x:c>
      <x:c r="K104" s="85" t="n">
        <x:f>IFERROR(0+(IF((K97+K98)=0,0,K99/(K97+K98))),"待填")</x:f>
        <x:v>0</x:v>
      </x:c>
      <x:c r="L104" s="85" t="n">
        <x:f>IFERROR(0+(IF((L97+L98)=0,0,L99/(L97+L98))),"待填")</x:f>
        <x:v>0</x:v>
      </x:c>
      <x:c r="M104" s="85" t="n">
        <x:f>IFERROR(0+(IF((M97+M98)=0,0,M99/(M97+M98))),"待填")</x:f>
        <x:v>0</x:v>
      </x:c>
      <x:c r="N104" s="85" t="n">
        <x:f>IFERROR(0+(IF((N97+N98)=0,0,N99/(N97+N98))),"待填")</x:f>
        <x:v>0</x:v>
      </x:c>
      <x:c r="O104" s="85" t="n">
        <x:f>IFERROR(0+(IF((O97+O98)=0,0,O99/(O97+O98))),"待填")</x:f>
        <x:v>0</x:v>
      </x:c>
      <x:c r="P104" s="85" t="n">
        <x:f>IFERROR(0+(IF((P97+P98)=0,0,P99/(P97+P98))),"待填")</x:f>
        <x:v>0</x:v>
      </x:c>
      <x:c r="Q104" s="85" t="n">
        <x:f>IFERROR(0+(IF((Q97+Q98)=0,0,Q99/(Q97+Q98))),"待填")</x:f>
        <x:v>0</x:v>
      </x:c>
      <x:c r="R104" s="85" t="n">
        <x:f>IFERROR(0+(IF((R97+R98)=0,0,R99/(R97+R98))),"待填")</x:f>
        <x:v>0</x:v>
      </x:c>
      <x:c r="S104" s="85" t="n">
        <x:f>IFERROR(0+(IF((S97+S98)=0,0,S99/(S97+S98))),"待填")</x:f>
        <x:v>0</x:v>
      </x:c>
      <x:c r="T104" s="85" t="n">
        <x:f>IFERROR(0+(IF((T97+T98)=0,0,T99/(T97+T98))),"待填")</x:f>
        <x:v>0</x:v>
      </x:c>
      <x:c r="U104" s="85"/>
      <x:c r="V104" s="85"/>
      <x:c r="W104" s="85"/>
    </x:row>
    <x:row r="105" ht="21" customHeight="1">
      <x:c r="A105" s="2"/>
      <x:c r="B105" s="25" t="str">
        <x:v>示例项目10</x:v>
      </x:c>
      <x:c r="C105" s="26" t="str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</x:row>
    <x:row r="106" ht="15.5" customHeight="1">
      <x:c r="A106" s="2"/>
      <x:c r="B106" s="2" t="str">
        <x:v>期初余额</x:v>
      </x:c>
      <x:c r="C106" s="6" t="str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</x:row>
    <x:row r="107" ht="15.5" customHeight="1">
      <x:c r="A107" s="2"/>
      <x:c r="B107" s="2" t="str">
        <x:v>本期增加</x:v>
      </x:c>
      <x:c r="C107" s="6" t="str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</x:row>
    <x:row r="108" ht="15.5" customHeight="1">
      <x:c r="A108" s="2"/>
      <x:c r="B108" s="2" t="str">
        <x:v>转入固定资产</x:v>
      </x:c>
      <x:c r="C108" s="6" t="str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</x:row>
    <x:row r="109" ht="15.5" customHeight="1">
      <x:c r="A109" s="2"/>
      <x:c r="B109" s="2" t="str">
        <x:v>其他减少</x:v>
      </x:c>
      <x:c r="C109" s="6" t="str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</x:row>
    <x:row r="110" ht="15.5" customHeight="1">
      <x:c r="A110" s="2"/>
      <x:c r="B110" s="2" t="str">
        <x:v>期末余额（披露）</x:v>
      </x:c>
      <x:c r="C110" s="6" t="str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</x:row>
    <x:row r="111" ht="15.5" customHeight="1">
      <x:c r="A111" s="2"/>
      <x:c r="B111" s="2" t="str">
        <x:v>期末余额（计算）</x:v>
      </x:c>
      <x:c r="C111" s="6" t="str"/>
      <x:c r="D111" s="4"/>
      <x:c r="E111" s="4" t="n">
        <x:f>IFERROR(0+(E106+E107-E108-E109),"待填")</x:f>
        <x:v>0</x:v>
      </x:c>
      <x:c r="F111" s="4" t="n">
        <x:f>IFERROR(0+(F106+F107-F108-F109),"待填")</x:f>
        <x:v>0</x:v>
      </x:c>
      <x:c r="G111" s="4" t="n">
        <x:f>IFERROR(0+(G106+G107-G108-G109),"待填")</x:f>
        <x:v>0</x:v>
      </x:c>
      <x:c r="H111" s="4" t="n">
        <x:f>IFERROR(0+(H106+H107-H108-H109),"待填")</x:f>
        <x:v>0</x:v>
      </x:c>
      <x:c r="I111" s="4" t="n">
        <x:f>IFERROR(0+(I106+I107-I108-I109),"待填")</x:f>
        <x:v>0</x:v>
      </x:c>
      <x:c r="J111" s="4" t="n">
        <x:f>IFERROR(0+(J106+J107-J108-J109),"待填")</x:f>
        <x:v>0</x:v>
      </x:c>
      <x:c r="K111" s="4" t="n">
        <x:f>IFERROR(0+(K106+K107-K108-K109),"待填")</x:f>
        <x:v>0</x:v>
      </x:c>
      <x:c r="L111" s="4" t="n">
        <x:f>IFERROR(0+(L106+L107-L108-L109),"待填")</x:f>
        <x:v>0</x:v>
      </x:c>
      <x:c r="M111" s="4" t="n">
        <x:f>IFERROR(0+(M106+M107-M108-M109),"待填")</x:f>
        <x:v>0</x:v>
      </x:c>
      <x:c r="N111" s="4" t="n">
        <x:f>IFERROR(0+(N106+N107-N108-N109),"待填")</x:f>
        <x:v>0</x:v>
      </x:c>
      <x:c r="O111" s="4" t="n">
        <x:f>IFERROR(0+(O106+O107-O108-O109),"待填")</x:f>
        <x:v>0</x:v>
      </x:c>
      <x:c r="P111" s="4" t="n">
        <x:f>IFERROR(0+(P106+P107-P108-P109),"待填")</x:f>
        <x:v>0</x:v>
      </x:c>
      <x:c r="Q111" s="4" t="n">
        <x:f>IFERROR(0+(Q106+Q107-Q108-Q109),"待填")</x:f>
        <x:v>0</x:v>
      </x:c>
      <x:c r="R111" s="4" t="n">
        <x:f>IFERROR(0+(R106+R107-R108-R109),"待填")</x:f>
        <x:v>0</x:v>
      </x:c>
      <x:c r="S111" s="4" t="n">
        <x:f>IFERROR(0+(S106+S107-S108-S109),"待填")</x:f>
        <x:v>0</x:v>
      </x:c>
      <x:c r="T111" s="4" t="n">
        <x:f>IFERROR(0+(T106+T107-T108-T109),"待填")</x:f>
        <x:v>0</x:v>
      </x:c>
      <x:c r="U111" s="4"/>
      <x:c r="V111" s="4"/>
      <x:c r="W111" s="4"/>
    </x:row>
    <x:row r="112" ht="15.5" customHeight="1">
      <x:c r="A112" s="2"/>
      <x:c r="B112" s="29" t="str">
        <x:v>滚动校验</x:v>
      </x:c>
      <x:c r="C112" s="32" t="str"/>
      <x:c r="D112" s="33"/>
      <x:c r="E112" s="33" t="n">
        <x:f>IFERROR(0+(E111-E110),"待填")</x:f>
        <x:v>0</x:v>
      </x:c>
      <x:c r="F112" s="33" t="n">
        <x:f>IFERROR(0+(F111-F110),"待填")</x:f>
        <x:v>0</x:v>
      </x:c>
      <x:c r="G112" s="33" t="n">
        <x:f>IFERROR(0+(G111-G110),"待填")</x:f>
        <x:v>0</x:v>
      </x:c>
      <x:c r="H112" s="33" t="n">
        <x:f>IFERROR(0+(H111-H110),"待填")</x:f>
        <x:v>0</x:v>
      </x:c>
      <x:c r="I112" s="33" t="n">
        <x:f>IFERROR(0+(I111-I110),"待填")</x:f>
        <x:v>0</x:v>
      </x:c>
      <x:c r="J112" s="33" t="n">
        <x:f>IFERROR(0+(J111-J110),"待填")</x:f>
        <x:v>0</x:v>
      </x:c>
      <x:c r="K112" s="33" t="n">
        <x:f>IFERROR(0+(K111-K110),"待填")</x:f>
        <x:v>0</x:v>
      </x:c>
      <x:c r="L112" s="33" t="n">
        <x:f>IFERROR(0+(L111-L110),"待填")</x:f>
        <x:v>0</x:v>
      </x:c>
      <x:c r="M112" s="33" t="n">
        <x:f>IFERROR(0+(M111-M110),"待填")</x:f>
        <x:v>0</x:v>
      </x:c>
      <x:c r="N112" s="33" t="n">
        <x:f>IFERROR(0+(N111-N110),"待填")</x:f>
        <x:v>0</x:v>
      </x:c>
      <x:c r="O112" s="33" t="n">
        <x:f>IFERROR(0+(O111-O110),"待填")</x:f>
        <x:v>0</x:v>
      </x:c>
      <x:c r="P112" s="33" t="n">
        <x:f>IFERROR(0+(P111-P110),"待填")</x:f>
        <x:v>0</x:v>
      </x:c>
      <x:c r="Q112" s="33" t="n">
        <x:f>IFERROR(0+(Q111-Q110),"待填")</x:f>
        <x:v>0</x:v>
      </x:c>
      <x:c r="R112" s="33" t="n">
        <x:f>IFERROR(0+(R111-R110),"待填")</x:f>
        <x:v>0</x:v>
      </x:c>
      <x:c r="S112" s="33" t="n">
        <x:f>IFERROR(0+(S111-S110),"待填")</x:f>
        <x:v>0</x:v>
      </x:c>
      <x:c r="T112" s="33" t="n">
        <x:f>IFERROR(0+(T111-T110),"待填")</x:f>
        <x:v>0</x:v>
      </x:c>
      <x:c r="U112" s="33"/>
      <x:c r="V112" s="33"/>
      <x:c r="W112" s="33"/>
    </x:row>
    <x:row r="113" ht="15.5" customHeight="1">
      <x:c r="A113" s="2"/>
      <x:c r="B113" s="2" t="str">
        <x:v>转固率</x:v>
      </x:c>
      <x:c r="C113" s="46" t="str"/>
      <x:c r="D113" s="85"/>
      <x:c r="E113" s="85" t="n">
        <x:f>IFERROR(0+(IF((E106+E107)=0,0,E108/(E106+E107))),"待填")</x:f>
        <x:v>0</x:v>
      </x:c>
      <x:c r="F113" s="85" t="n">
        <x:f>IFERROR(0+(IF((F106+F107)=0,0,F108/(F106+F107))),"待填")</x:f>
        <x:v>0</x:v>
      </x:c>
      <x:c r="G113" s="85" t="n">
        <x:f>IFERROR(0+(IF((G106+G107)=0,0,G108/(G106+G107))),"待填")</x:f>
        <x:v>0</x:v>
      </x:c>
      <x:c r="H113" s="85" t="n">
        <x:f>IFERROR(0+(IF((H106+H107)=0,0,H108/(H106+H107))),"待填")</x:f>
        <x:v>0</x:v>
      </x:c>
      <x:c r="I113" s="85" t="n">
        <x:f>IFERROR(0+(IF((I106+I107)=0,0,I108/(I106+I107))),"待填")</x:f>
        <x:v>0</x:v>
      </x:c>
      <x:c r="J113" s="85" t="n">
        <x:f>IFERROR(0+(IF((J106+J107)=0,0,J108/(J106+J107))),"待填")</x:f>
        <x:v>0</x:v>
      </x:c>
      <x:c r="K113" s="85" t="n">
        <x:f>IFERROR(0+(IF((K106+K107)=0,0,K108/(K106+K107))),"待填")</x:f>
        <x:v>0</x:v>
      </x:c>
      <x:c r="L113" s="85" t="n">
        <x:f>IFERROR(0+(IF((L106+L107)=0,0,L108/(L106+L107))),"待填")</x:f>
        <x:v>0</x:v>
      </x:c>
      <x:c r="M113" s="85" t="n">
        <x:f>IFERROR(0+(IF((M106+M107)=0,0,M108/(M106+M107))),"待填")</x:f>
        <x:v>0</x:v>
      </x:c>
      <x:c r="N113" s="85" t="n">
        <x:f>IFERROR(0+(IF((N106+N107)=0,0,N108/(N106+N107))),"待填")</x:f>
        <x:v>0</x:v>
      </x:c>
      <x:c r="O113" s="85" t="n">
        <x:f>IFERROR(0+(IF((O106+O107)=0,0,O108/(O106+O107))),"待填")</x:f>
        <x:v>0</x:v>
      </x:c>
      <x:c r="P113" s="85" t="n">
        <x:f>IFERROR(0+(IF((P106+P107)=0,0,P108/(P106+P107))),"待填")</x:f>
        <x:v>0</x:v>
      </x:c>
      <x:c r="Q113" s="85" t="n">
        <x:f>IFERROR(0+(IF((Q106+Q107)=0,0,Q108/(Q106+Q107))),"待填")</x:f>
        <x:v>0</x:v>
      </x:c>
      <x:c r="R113" s="85" t="n">
        <x:f>IFERROR(0+(IF((R106+R107)=0,0,R108/(R106+R107))),"待填")</x:f>
        <x:v>0</x:v>
      </x:c>
      <x:c r="S113" s="85" t="n">
        <x:f>IFERROR(0+(IF((S106+S107)=0,0,S108/(S106+S107))),"待填")</x:f>
        <x:v>0</x:v>
      </x:c>
      <x:c r="T113" s="85" t="n">
        <x:f>IFERROR(0+(IF((T106+T107)=0,0,T108/(T106+T107))),"待填")</x:f>
        <x:v>0</x:v>
      </x:c>
      <x:c r="U113" s="85"/>
      <x:c r="V113" s="85"/>
      <x:c r="W113" s="85"/>
    </x:row>
    <x:row r="114" ht="21" customHeight="1">
      <x:c r="A114" s="2"/>
      <x:c r="B114" s="25" t="str">
        <x:v>四、预算与投入占预算比例</x:v>
      </x:c>
      <x:c r="C114" s="26" t="str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</x:row>
    <x:row r="115" ht="15.5" customHeight="1">
      <x:c r="A115" s="2"/>
      <x:c r="B115" s="2" t="str">
        <x:v>项目1：预算</x:v>
      </x:c>
      <x:c r="C115" s="6" t="str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</x:row>
    <x:row r="116" ht="15.5" customHeight="1">
      <x:c r="A116" s="2"/>
      <x:c r="B116" s="2" t="str">
        <x:v>项目1：累计投入占预算比例</x:v>
      </x:c>
      <x:c r="C116" s="46" t="str"/>
      <x:c r="D116" s="85"/>
      <x:c r="E116" s="85"/>
      <x:c r="F116" s="85"/>
      <x:c r="G116" s="85"/>
      <x:c r="H116" s="85"/>
      <x:c r="I116" s="85"/>
      <x:c r="J116" s="85"/>
      <x:c r="K116" s="85"/>
      <x:c r="L116" s="85"/>
      <x:c r="M116" s="85"/>
      <x:c r="N116" s="85"/>
      <x:c r="O116" s="85"/>
      <x:c r="P116" s="85"/>
      <x:c r="Q116" s="85"/>
      <x:c r="R116" s="85"/>
      <x:c r="S116" s="85"/>
      <x:c r="T116" s="85"/>
      <x:c r="U116" s="85"/>
      <x:c r="V116" s="85"/>
      <x:c r="W116" s="85"/>
    </x:row>
    <x:row r="117" ht="15.5" customHeight="1">
      <x:c r="A117" s="2"/>
      <x:c r="B117" s="2" t="str">
        <x:v>项目2：预算</x:v>
      </x:c>
      <x:c r="C117" s="6" t="str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</x:row>
    <x:row r="118" ht="15.5" customHeight="1">
      <x:c r="A118" s="2"/>
      <x:c r="B118" s="2" t="str">
        <x:v>项目2：累计投入占预算比例</x:v>
      </x:c>
      <x:c r="C118" s="46" t="str"/>
      <x:c r="D118" s="85"/>
      <x:c r="E118" s="85"/>
      <x:c r="F118" s="85"/>
      <x:c r="G118" s="85"/>
      <x:c r="H118" s="85"/>
      <x:c r="I118" s="85"/>
      <x:c r="J118" s="85"/>
      <x:c r="K118" s="85"/>
      <x:c r="L118" s="85"/>
      <x:c r="M118" s="85"/>
      <x:c r="N118" s="85"/>
      <x:c r="O118" s="85"/>
      <x:c r="P118" s="85"/>
      <x:c r="Q118" s="85"/>
      <x:c r="R118" s="85"/>
      <x:c r="S118" s="85"/>
      <x:c r="T118" s="85"/>
      <x:c r="U118" s="85"/>
      <x:c r="V118" s="85"/>
      <x:c r="W118" s="85"/>
    </x:row>
    <x:row r="119" ht="15.5" customHeight="1">
      <x:c r="A119" s="2"/>
      <x:c r="B119" s="2" t="str">
        <x:v>项目3：预算</x:v>
      </x:c>
      <x:c r="C119" s="6" t="str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</x:row>
    <x:row r="120" ht="15.5" customHeight="1">
      <x:c r="A120" s="2"/>
      <x:c r="B120" s="2" t="str">
        <x:v>项目3：累计投入占预算比例</x:v>
      </x:c>
      <x:c r="C120" s="46" t="str"/>
      <x:c r="D120" s="85"/>
      <x:c r="E120" s="85"/>
      <x:c r="F120" s="85"/>
      <x:c r="G120" s="85"/>
      <x:c r="H120" s="85"/>
      <x:c r="I120" s="85"/>
      <x:c r="J120" s="85"/>
      <x:c r="K120" s="85"/>
      <x:c r="L120" s="85"/>
      <x:c r="M120" s="85"/>
      <x:c r="N120" s="85"/>
      <x:c r="O120" s="85"/>
      <x:c r="P120" s="85"/>
      <x:c r="Q120" s="85"/>
      <x:c r="R120" s="85"/>
      <x:c r="S120" s="85"/>
      <x:c r="T120" s="85"/>
      <x:c r="U120" s="85"/>
      <x:c r="V120" s="85"/>
      <x:c r="W120" s="85"/>
    </x:row>
    <x:row r="121" ht="15.5" customHeight="1">
      <x:c r="A121" s="2"/>
      <x:c r="B121" s="2" t="str">
        <x:v>项目4：预算</x:v>
      </x:c>
      <x:c r="C121" s="6" t="str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</x:row>
    <x:row r="122" ht="15.5" customHeight="1">
      <x:c r="A122" s="2"/>
      <x:c r="B122" s="2" t="str">
        <x:v>项目4：累计投入占预算比例</x:v>
      </x:c>
      <x:c r="C122" s="46" t="str"/>
      <x:c r="D122" s="85"/>
      <x:c r="E122" s="85"/>
      <x:c r="F122" s="85"/>
      <x:c r="G122" s="85"/>
      <x:c r="H122" s="85"/>
      <x:c r="I122" s="85"/>
      <x:c r="J122" s="85"/>
      <x:c r="K122" s="85"/>
      <x:c r="L122" s="85"/>
      <x:c r="M122" s="85"/>
      <x:c r="N122" s="85"/>
      <x:c r="O122" s="85"/>
      <x:c r="P122" s="85"/>
      <x:c r="Q122" s="85"/>
      <x:c r="R122" s="85"/>
      <x:c r="S122" s="85"/>
      <x:c r="T122" s="85"/>
      <x:c r="U122" s="85"/>
      <x:c r="V122" s="85"/>
      <x:c r="W122" s="85"/>
    </x:row>
    <x:row r="123" ht="15.5" customHeight="1">
      <x:c r="A123" s="2"/>
      <x:c r="B123" s="2" t="str">
        <x:v>项目5：预算</x:v>
      </x:c>
      <x:c r="C123" s="6" t="str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</x:row>
    <x:row r="124" ht="15.5" customHeight="1">
      <x:c r="A124" s="2"/>
      <x:c r="B124" s="2" t="str">
        <x:v>项目5：累计投入占预算比例</x:v>
      </x:c>
      <x:c r="C124" s="46" t="str"/>
      <x:c r="D124" s="85"/>
      <x:c r="E124" s="85"/>
      <x:c r="F124" s="85"/>
      <x:c r="G124" s="85"/>
      <x:c r="H124" s="85"/>
      <x:c r="I124" s="85"/>
      <x:c r="J124" s="85"/>
      <x:c r="K124" s="85"/>
      <x:c r="L124" s="85"/>
      <x:c r="M124" s="85"/>
      <x:c r="N124" s="85"/>
      <x:c r="O124" s="85"/>
      <x:c r="P124" s="85"/>
      <x:c r="Q124" s="85"/>
      <x:c r="R124" s="85"/>
      <x:c r="S124" s="85"/>
      <x:c r="T124" s="85"/>
      <x:c r="U124" s="85"/>
      <x:c r="V124" s="85"/>
      <x:c r="W124" s="85"/>
    </x:row>
    <x:row r="125" ht="15.5" customHeight="1">
      <x:c r="A125" s="2"/>
      <x:c r="B125" s="2" t="str">
        <x:v>项目6：预算</x:v>
      </x:c>
      <x:c r="C125" s="6" t="str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</x:row>
    <x:row r="126" ht="15.5" customHeight="1">
      <x:c r="A126" s="2"/>
      <x:c r="B126" s="2" t="str">
        <x:v>项目6：累计投入占预算比例</x:v>
      </x:c>
      <x:c r="C126" s="46" t="str"/>
      <x:c r="D126" s="85"/>
      <x:c r="E126" s="85"/>
      <x:c r="F126" s="85"/>
      <x:c r="G126" s="85"/>
      <x:c r="H126" s="85"/>
      <x:c r="I126" s="85"/>
      <x:c r="J126" s="85"/>
      <x:c r="K126" s="85"/>
      <x:c r="L126" s="85"/>
      <x:c r="M126" s="85"/>
      <x:c r="N126" s="85"/>
      <x:c r="O126" s="85"/>
      <x:c r="P126" s="85"/>
      <x:c r="Q126" s="85"/>
      <x:c r="R126" s="85"/>
      <x:c r="S126" s="85"/>
      <x:c r="T126" s="85"/>
      <x:c r="U126" s="85"/>
      <x:c r="V126" s="85"/>
      <x:c r="W126" s="85"/>
    </x:row>
    <x:row r="127" ht="15.5" customHeight="1">
      <x:c r="A127" s="2"/>
      <x:c r="B127" s="2" t="str">
        <x:v>项目7：预算</x:v>
      </x:c>
      <x:c r="C127" s="6" t="str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</x:row>
    <x:row r="128" ht="15.5" customHeight="1">
      <x:c r="A128" s="2"/>
      <x:c r="B128" s="2" t="str">
        <x:v>项目7：累计投入占预算比例</x:v>
      </x:c>
      <x:c r="C128" s="46" t="str"/>
      <x:c r="D128" s="85"/>
      <x:c r="E128" s="85"/>
      <x:c r="F128" s="85"/>
      <x:c r="G128" s="85"/>
      <x:c r="H128" s="85"/>
      <x:c r="I128" s="85"/>
      <x:c r="J128" s="85"/>
      <x:c r="K128" s="85"/>
      <x:c r="L128" s="85"/>
      <x:c r="M128" s="85"/>
      <x:c r="N128" s="85"/>
      <x:c r="O128" s="85"/>
      <x:c r="P128" s="85"/>
      <x:c r="Q128" s="85"/>
      <x:c r="R128" s="85"/>
      <x:c r="S128" s="85"/>
      <x:c r="T128" s="85"/>
      <x:c r="U128" s="85"/>
      <x:c r="V128" s="85"/>
      <x:c r="W128" s="85"/>
    </x:row>
    <x:row r="129" ht="15.5" customHeight="1">
      <x:c r="A129" s="2"/>
      <x:c r="B129" s="2" t="str">
        <x:v>项目8：预算</x:v>
      </x:c>
      <x:c r="C129" s="6" t="str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</x:row>
    <x:row r="130" ht="15.5" customHeight="1">
      <x:c r="A130" s="2"/>
      <x:c r="B130" s="2" t="str">
        <x:v>项目8：累计投入占预算比例</x:v>
      </x:c>
      <x:c r="C130" s="46" t="str"/>
      <x:c r="D130" s="85"/>
      <x:c r="E130" s="85"/>
      <x:c r="F130" s="85"/>
      <x:c r="G130" s="85"/>
      <x:c r="H130" s="85"/>
      <x:c r="I130" s="85"/>
      <x:c r="J130" s="85"/>
      <x:c r="K130" s="85"/>
      <x:c r="L130" s="85"/>
      <x:c r="M130" s="85"/>
      <x:c r="N130" s="85"/>
      <x:c r="O130" s="85"/>
      <x:c r="P130" s="85"/>
      <x:c r="Q130" s="85"/>
      <x:c r="R130" s="85"/>
      <x:c r="S130" s="85"/>
      <x:c r="T130" s="85"/>
      <x:c r="U130" s="85"/>
      <x:c r="V130" s="85"/>
      <x:c r="W130" s="85"/>
    </x:row>
    <x:row r="131" ht="15.5" customHeight="1">
      <x:c r="A131" s="2"/>
      <x:c r="B131" s="2" t="str">
        <x:v>项目9：预算</x:v>
      </x:c>
      <x:c r="C131" s="6" t="str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</x:row>
    <x:row r="132" ht="15.5" customHeight="1">
      <x:c r="A132" s="2"/>
      <x:c r="B132" s="2" t="str">
        <x:v>项目9：累计投入占预算比例</x:v>
      </x:c>
      <x:c r="C132" s="46" t="str"/>
      <x:c r="D132" s="85"/>
      <x:c r="E132" s="85"/>
      <x:c r="F132" s="85"/>
      <x:c r="G132" s="85"/>
      <x:c r="H132" s="85"/>
      <x:c r="I132" s="85"/>
      <x:c r="J132" s="85"/>
      <x:c r="K132" s="85"/>
      <x:c r="L132" s="85"/>
      <x:c r="M132" s="85"/>
      <x:c r="N132" s="85"/>
      <x:c r="O132" s="85"/>
      <x:c r="P132" s="85"/>
      <x:c r="Q132" s="85"/>
      <x:c r="R132" s="85"/>
      <x:c r="S132" s="85"/>
      <x:c r="T132" s="85"/>
      <x:c r="U132" s="85"/>
      <x:c r="V132" s="85"/>
      <x:c r="W132" s="85"/>
    </x:row>
    <x:row r="133" ht="25" customHeight="1">
      <x:c r="A133" s="2"/>
      <x:c r="B133" s="35" t="str">
        <x:v>【待补说明】填写该公司的口径、特殊事项和预测假设。</x:v>
      </x:c>
      <x:c r="C133" s="35" t="str">
        <x:v>【待补说明】填写该公司的口径、特殊事项和预测假设。</x:v>
      </x:c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</x:row>
    <x:row r="134" ht="21" customHeight="1">
      <x:c r="A134" s="2"/>
      <x:c r="B134" s="25" t="str">
        <x:v>五、转固与固定资产桥接</x:v>
      </x:c>
      <x:c r="C134" s="26" t="str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</x:row>
    <x:row r="135" ht="15.5" customHeight="1">
      <x:c r="A135" s="2"/>
      <x:c r="B135" s="2" t="str">
        <x:v>全部项目期初</x:v>
      </x:c>
      <x:c r="C135" s="6" t="str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</x:row>
    <x:row r="136" ht="15.5" customHeight="1">
      <x:c r="A136" s="2"/>
      <x:c r="B136" s="2" t="str">
        <x:v>全部项目新增</x:v>
      </x:c>
      <x:c r="C136" s="6" t="str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</x:row>
    <x:row r="137" ht="15.5" customHeight="1">
      <x:c r="A137" s="2"/>
      <x:c r="B137" s="2" t="str">
        <x:v>全部项目转固（账面余额）</x:v>
      </x:c>
      <x:c r="C137" s="6" t="str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</x:row>
    <x:row r="138" ht="15.5" customHeight="1">
      <x:c r="A138" s="2"/>
      <x:c r="B138" s="2" t="str">
        <x:v>全部项目其他减少</x:v>
      </x:c>
      <x:c r="C138" s="6" t="str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</x:row>
    <x:row r="139" ht="15.5" customHeight="1">
      <x:c r="A139" s="2"/>
      <x:c r="B139" s="2" t="str">
        <x:v>全部项目期末（账面余额）</x:v>
      </x:c>
      <x:c r="C139" s="6" t="str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</x:row>
    <x:row r="140" ht="15.5" customHeight="1">
      <x:c r="A140" s="2"/>
      <x:c r="B140" s="2" t="str">
        <x:v>整体转固率</x:v>
      </x:c>
      <x:c r="C140" s="46" t="str"/>
      <x:c r="D140" s="85"/>
      <x:c r="E140" s="85" t="n">
        <x:f>IFERROR(0+(IF((E135+E136)=0,0,E137/(E135+E136))),"待填")</x:f>
        <x:v>0</x:v>
      </x:c>
      <x:c r="F140" s="85" t="n">
        <x:f>IFERROR(0+(IF((F135+F136)=0,0,F137/(F135+F136))),"待填")</x:f>
        <x:v>0</x:v>
      </x:c>
      <x:c r="G140" s="85" t="n">
        <x:f>IFERROR(0+(IF((G135+G136)=0,0,G137/(G135+G136))),"待填")</x:f>
        <x:v>0</x:v>
      </x:c>
      <x:c r="H140" s="85" t="n">
        <x:f>IFERROR(0+(IF((H135+H136)=0,0,H137/(H135+H136))),"待填")</x:f>
        <x:v>0</x:v>
      </x:c>
      <x:c r="I140" s="85" t="n">
        <x:f>IFERROR(0+(IF((I135+I136)=0,0,I137/(I135+I136))),"待填")</x:f>
        <x:v>0</x:v>
      </x:c>
      <x:c r="J140" s="85" t="n">
        <x:f>IFERROR(0+(IF((J135+J136)=0,0,J137/(J135+J136))),"待填")</x:f>
        <x:v>0</x:v>
      </x:c>
      <x:c r="K140" s="85" t="n">
        <x:f>IFERROR(0+(IF((K135+K136)=0,0,K137/(K135+K136))),"待填")</x:f>
        <x:v>0</x:v>
      </x:c>
      <x:c r="L140" s="85" t="n">
        <x:f>IFERROR(0+(IF((L135+L136)=0,0,L137/(L135+L136))),"待填")</x:f>
        <x:v>0</x:v>
      </x:c>
      <x:c r="M140" s="85" t="n">
        <x:f>IFERROR(0+(IF((M135+M136)=0,0,M137/(M135+M136))),"待填")</x:f>
        <x:v>0</x:v>
      </x:c>
      <x:c r="N140" s="85" t="n">
        <x:f>IFERROR(0+(IF((N135+N136)=0,0,N137/(N135+N136))),"待填")</x:f>
        <x:v>0</x:v>
      </x:c>
      <x:c r="O140" s="85" t="n">
        <x:f>IFERROR(0+(IF((O135+O136)=0,0,O137/(O135+O136))),"待填")</x:f>
        <x:v>0</x:v>
      </x:c>
      <x:c r="P140" s="85" t="n">
        <x:f>IFERROR(0+(IF((P135+P136)=0,0,P137/(P135+P136))),"待填")</x:f>
        <x:v>0</x:v>
      </x:c>
      <x:c r="Q140" s="85" t="n">
        <x:f>IFERROR(0+(IF((Q135+Q136)=0,0,Q137/(Q135+Q136))),"待填")</x:f>
        <x:v>0</x:v>
      </x:c>
      <x:c r="R140" s="85" t="n">
        <x:f>IFERROR(0+(IF((R135+R136)=0,0,R137/(R135+R136))),"待填")</x:f>
        <x:v>0</x:v>
      </x:c>
      <x:c r="S140" s="85" t="n">
        <x:f>IFERROR(0+(IF((S135+S136)=0,0,S137/(S135+S136))),"待填")</x:f>
        <x:v>0</x:v>
      </x:c>
      <x:c r="T140" s="85" t="n">
        <x:f>IFERROR(0+(IF((T135+T136)=0,0,T137/(T135+T136))),"待填")</x:f>
        <x:v>0</x:v>
      </x:c>
      <x:c r="U140" s="85"/>
      <x:c r="V140" s="85"/>
      <x:c r="W140" s="85"/>
    </x:row>
    <x:row r="141" ht="15.5" customHeight="1">
      <x:c r="A141" s="2"/>
      <x:c r="B141" s="2" t="str">
        <x:v>房屋及建筑物：固定资产附注转入</x:v>
      </x:c>
      <x:c r="C141" s="6" t="str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</x:row>
    <x:row r="142" ht="15.5" customHeight="1">
      <x:c r="A142" s="2"/>
      <x:c r="B142" s="2" t="str">
        <x:v>通用设备：固定资产附注转入</x:v>
      </x:c>
      <x:c r="C142" s="6" t="str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</x:row>
    <x:row r="143" ht="15.5" customHeight="1">
      <x:c r="A143" s="2"/>
      <x:c r="B143" s="2" t="str">
        <x:v>专用设备：固定资产附注转入</x:v>
      </x:c>
      <x:c r="C143" s="6" t="str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</x:row>
    <x:row r="144" ht="15.5" customHeight="1">
      <x:c r="A144" s="2"/>
      <x:c r="B144" s="2" t="str">
        <x:v>机器设备：固定资产附注转入</x:v>
      </x:c>
      <x:c r="C144" s="6" t="str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</x:row>
    <x:row r="145" ht="15.5" customHeight="1">
      <x:c r="A145" s="2"/>
      <x:c r="B145" s="2" t="str">
        <x:v>运输工具：固定资产附注转入</x:v>
      </x:c>
      <x:c r="C145" s="6" t="str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</x:row>
    <x:row r="146" ht="15.5" customHeight="1">
      <x:c r="A146" s="2"/>
      <x:c r="B146" s="2" t="str">
        <x:v>融资租入固定资产：固定资产附注转入</x:v>
      </x:c>
      <x:c r="C146" s="6" t="str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</x:row>
    <x:row r="147" ht="15.5" customHeight="1">
      <x:c r="A147" s="2"/>
      <x:c r="B147" s="2" t="str">
        <x:v>电子设备：固定资产附注转入</x:v>
      </x:c>
      <x:c r="C147" s="6" t="str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</x:row>
    <x:row r="148" ht="15.5" customHeight="1">
      <x:c r="A148" s="2"/>
      <x:c r="B148" s="38" t="str">
        <x:v>固定资产附注转入合计</x:v>
      </x:c>
      <x:c r="C148" s="39" t="str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</x:row>
    <x:row r="149" ht="15.5" customHeight="1">
      <x:c r="A149" s="2"/>
      <x:c r="B149" s="29" t="str">
        <x:v>账面余额转固与固定资产入账差额</x:v>
      </x:c>
      <x:c r="C149" s="32" t="str"/>
      <x:c r="D149" s="33"/>
      <x:c r="E149" s="33" t="n">
        <x:f>IFERROR(0+(E137-E148),"待填")</x:f>
        <x:v>0</x:v>
      </x:c>
      <x:c r="F149" s="33" t="n">
        <x:f>IFERROR(0+(F137-F148),"待填")</x:f>
        <x:v>0</x:v>
      </x:c>
      <x:c r="G149" s="33" t="n">
        <x:f>IFERROR(0+(G137-G148),"待填")</x:f>
        <x:v>0</x:v>
      </x:c>
      <x:c r="H149" s="33" t="n">
        <x:f>IFERROR(0+(H137-H148),"待填")</x:f>
        <x:v>0</x:v>
      </x:c>
      <x:c r="I149" s="33" t="n">
        <x:f>IFERROR(0+(I137-I148),"待填")</x:f>
        <x:v>0</x:v>
      </x:c>
      <x:c r="J149" s="33" t="n">
        <x:f>IFERROR(0+(J137-J148),"待填")</x:f>
        <x:v>0</x:v>
      </x:c>
      <x:c r="K149" s="33" t="n">
        <x:f>IFERROR(0+(K137-K148),"待填")</x:f>
        <x:v>0</x:v>
      </x:c>
      <x:c r="L149" s="33" t="n">
        <x:f>IFERROR(0+(L137-L148),"待填")</x:f>
        <x:v>0</x:v>
      </x:c>
      <x:c r="M149" s="33" t="n">
        <x:f>IFERROR(0+(M137-M148),"待填")</x:f>
        <x:v>0</x:v>
      </x:c>
      <x:c r="N149" s="33" t="n">
        <x:f>IFERROR(0+(N137-N148),"待填")</x:f>
        <x:v>0</x:v>
      </x:c>
      <x:c r="O149" s="33" t="n">
        <x:f>IFERROR(0+(O137-O148),"待填")</x:f>
        <x:v>0</x:v>
      </x:c>
      <x:c r="P149" s="33" t="n">
        <x:f>IFERROR(0+(P137-P148),"待填")</x:f>
        <x:v>0</x:v>
      </x:c>
      <x:c r="Q149" s="33" t="n">
        <x:f>IFERROR(0+(Q137-Q148),"待填")</x:f>
        <x:v>0</x:v>
      </x:c>
      <x:c r="R149" s="33" t="n">
        <x:f>IFERROR(0+(R137-R148),"待填")</x:f>
        <x:v>0</x:v>
      </x:c>
      <x:c r="S149" s="33" t="n">
        <x:f>IFERROR(0+(S137-S148),"待填")</x:f>
        <x:v>0</x:v>
      </x:c>
      <x:c r="T149" s="33" t="n">
        <x:f>IFERROR(0+(T137-T148),"待填")</x:f>
        <x:v>0</x:v>
      </x:c>
      <x:c r="U149" s="33"/>
      <x:c r="V149" s="33"/>
      <x:c r="W149" s="33"/>
    </x:row>
    <x:row r="150" ht="21" customHeight="1">
      <x:c r="A150" s="2"/>
      <x:c r="B150" s="25" t="str">
        <x:v>六、预测假设（深红可调）</x:v>
      </x:c>
      <x:c r="C150" s="26" t="str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</x:row>
    <x:row r="151" ht="15.5" customHeight="1">
      <x:c r="A151" s="2"/>
      <x:c r="B151" s="77" t="str">
        <x:v>新增投入假设</x:v>
      </x:c>
      <x:c r="C151" s="86" t="str">
        <x:v>近两年新增投入平均；未使用公司承诺</x:v>
      </x:c>
      <x:c r="D151" s="87"/>
      <x:c r="E151" s="87"/>
      <x:c r="F151" s="87"/>
      <x:c r="G151" s="87"/>
      <x:c r="H151" s="87"/>
      <x:c r="I151" s="87"/>
      <x:c r="J151" s="87"/>
      <x:c r="K151" s="87"/>
      <x:c r="L151" s="87"/>
      <x:c r="M151" s="87"/>
      <x:c r="N151" s="87"/>
      <x:c r="O151" s="87"/>
      <x:c r="P151" s="87"/>
      <x:c r="Q151" s="87"/>
      <x:c r="R151" s="87"/>
      <x:c r="S151" s="87"/>
      <x:c r="T151" s="87"/>
      <x:c r="U151" s="87"/>
      <x:c r="V151" s="87"/>
      <x:c r="W151" s="87"/>
    </x:row>
    <x:row r="152" ht="15.5" customHeight="1">
      <x:c r="A152" s="2"/>
      <x:c r="B152" s="77" t="str">
        <x:v>整体转固率假设</x:v>
      </x:c>
      <x:c r="C152" s="86" t="str">
        <x:v>近三年账面余额转固率平均</x:v>
      </x:c>
      <x:c r="D152" s="88"/>
      <x:c r="E152" s="88"/>
      <x:c r="F152" s="88"/>
      <x:c r="G152" s="88"/>
      <x:c r="H152" s="88"/>
      <x:c r="I152" s="88"/>
      <x:c r="J152" s="88"/>
      <x:c r="K152" s="88"/>
      <x:c r="L152" s="88"/>
      <x:c r="M152" s="88"/>
      <x:c r="N152" s="88"/>
      <x:c r="O152" s="88"/>
      <x:c r="P152" s="88"/>
      <x:c r="Q152" s="88"/>
      <x:c r="R152" s="88"/>
      <x:c r="S152" s="88"/>
      <x:c r="T152" s="88"/>
      <x:c r="U152" s="88"/>
      <x:c r="V152" s="88"/>
      <x:c r="W152" s="88"/>
    </x:row>
    <x:row r="153" ht="15.5" customHeight="1">
      <x:c r="A153" s="2"/>
      <x:c r="B153" s="77" t="str">
        <x:v>房屋及建筑物：转固分配比例</x:v>
      </x:c>
      <x:c r="C153" s="86" t="str">
        <x:v>近三年固定资产分类转入占比平均</x:v>
      </x:c>
      <x:c r="D153" s="88"/>
      <x:c r="E153" s="88"/>
      <x:c r="F153" s="88"/>
      <x:c r="G153" s="88"/>
      <x:c r="H153" s="88"/>
      <x:c r="I153" s="88"/>
      <x:c r="J153" s="88"/>
      <x:c r="K153" s="88"/>
      <x:c r="L153" s="88"/>
      <x:c r="M153" s="88"/>
      <x:c r="N153" s="88"/>
      <x:c r="O153" s="88"/>
      <x:c r="P153" s="88"/>
      <x:c r="Q153" s="88"/>
      <x:c r="R153" s="88"/>
      <x:c r="S153" s="88"/>
      <x:c r="T153" s="88"/>
      <x:c r="U153" s="88"/>
      <x:c r="V153" s="88"/>
      <x:c r="W153" s="88"/>
    </x:row>
    <x:row r="154" ht="15.5" customHeight="1">
      <x:c r="A154" s="2"/>
      <x:c r="B154" s="77" t="str">
        <x:v>通用设备：转固分配比例</x:v>
      </x:c>
      <x:c r="C154" s="86" t="str">
        <x:v>近三年固定资产分类转入占比平均</x:v>
      </x:c>
      <x:c r="D154" s="88"/>
      <x:c r="E154" s="88"/>
      <x:c r="F154" s="88"/>
      <x:c r="G154" s="88"/>
      <x:c r="H154" s="88"/>
      <x:c r="I154" s="88"/>
      <x:c r="J154" s="88"/>
      <x:c r="K154" s="88"/>
      <x:c r="L154" s="88"/>
      <x:c r="M154" s="88"/>
      <x:c r="N154" s="88"/>
      <x:c r="O154" s="88"/>
      <x:c r="P154" s="88"/>
      <x:c r="Q154" s="88"/>
      <x:c r="R154" s="88"/>
      <x:c r="S154" s="88"/>
      <x:c r="T154" s="88"/>
      <x:c r="U154" s="88"/>
      <x:c r="V154" s="88"/>
      <x:c r="W154" s="88"/>
    </x:row>
    <x:row r="155" ht="15.5" customHeight="1">
      <x:c r="A155" s="2"/>
      <x:c r="B155" s="77" t="str">
        <x:v>专用设备：转固分配比例</x:v>
      </x:c>
      <x:c r="C155" s="86" t="str">
        <x:v>近三年固定资产分类转入占比平均</x:v>
      </x:c>
      <x:c r="D155" s="88"/>
      <x:c r="E155" s="88"/>
      <x:c r="F155" s="88"/>
      <x:c r="G155" s="88"/>
      <x:c r="H155" s="88"/>
      <x:c r="I155" s="88"/>
      <x:c r="J155" s="88"/>
      <x:c r="K155" s="88"/>
      <x:c r="L155" s="88"/>
      <x:c r="M155" s="88"/>
      <x:c r="N155" s="88"/>
      <x:c r="O155" s="88"/>
      <x:c r="P155" s="88"/>
      <x:c r="Q155" s="88"/>
      <x:c r="R155" s="88"/>
      <x:c r="S155" s="88"/>
      <x:c r="T155" s="88"/>
      <x:c r="U155" s="88"/>
      <x:c r="V155" s="88"/>
      <x:c r="W155" s="88"/>
    </x:row>
    <x:row r="156" ht="15.5" customHeight="1">
      <x:c r="A156" s="2"/>
      <x:c r="B156" s="77" t="str">
        <x:v>机器设备：转固分配比例</x:v>
      </x:c>
      <x:c r="C156" s="86" t="str">
        <x:v>近三年固定资产分类转入占比平均</x:v>
      </x:c>
      <x:c r="D156" s="88"/>
      <x:c r="E156" s="88"/>
      <x:c r="F156" s="88"/>
      <x:c r="G156" s="88"/>
      <x:c r="H156" s="88"/>
      <x:c r="I156" s="88"/>
      <x:c r="J156" s="88"/>
      <x:c r="K156" s="88"/>
      <x:c r="L156" s="88"/>
      <x:c r="M156" s="88"/>
      <x:c r="N156" s="88"/>
      <x:c r="O156" s="88"/>
      <x:c r="P156" s="88"/>
      <x:c r="Q156" s="88"/>
      <x:c r="R156" s="88"/>
      <x:c r="S156" s="88"/>
      <x:c r="T156" s="88"/>
      <x:c r="U156" s="88"/>
      <x:c r="V156" s="88"/>
      <x:c r="W156" s="88"/>
    </x:row>
    <x:row r="157" ht="15.5" customHeight="1">
      <x:c r="A157" s="2"/>
      <x:c r="B157" s="77" t="str">
        <x:v>运输工具：转固分配比例</x:v>
      </x:c>
      <x:c r="C157" s="86" t="str">
        <x:v>近三年固定资产分类转入占比平均</x:v>
      </x:c>
      <x:c r="D157" s="88"/>
      <x:c r="E157" s="88"/>
      <x:c r="F157" s="88"/>
      <x:c r="G157" s="88"/>
      <x:c r="H157" s="88"/>
      <x:c r="I157" s="88"/>
      <x:c r="J157" s="88"/>
      <x:c r="K157" s="88"/>
      <x:c r="L157" s="88"/>
      <x:c r="M157" s="88"/>
      <x:c r="N157" s="88"/>
      <x:c r="O157" s="88"/>
      <x:c r="P157" s="88"/>
      <x:c r="Q157" s="88"/>
      <x:c r="R157" s="88"/>
      <x:c r="S157" s="88"/>
      <x:c r="T157" s="88"/>
      <x:c r="U157" s="88"/>
      <x:c r="V157" s="88"/>
      <x:c r="W157" s="88"/>
    </x:row>
    <x:row r="158" ht="15.5" customHeight="1">
      <x:c r="A158" s="2"/>
      <x:c r="B158" s="77" t="str">
        <x:v>融资租入固定资产：转固分配比例</x:v>
      </x:c>
      <x:c r="C158" s="86" t="str">
        <x:v>近三年固定资产分类转入占比平均</x:v>
      </x:c>
      <x:c r="D158" s="88"/>
      <x:c r="E158" s="88"/>
      <x:c r="F158" s="88"/>
      <x:c r="G158" s="88"/>
      <x:c r="H158" s="88"/>
      <x:c r="I158" s="88"/>
      <x:c r="J158" s="88"/>
      <x:c r="K158" s="88"/>
      <x:c r="L158" s="88"/>
      <x:c r="M158" s="88"/>
      <x:c r="N158" s="88"/>
      <x:c r="O158" s="88"/>
      <x:c r="P158" s="88"/>
      <x:c r="Q158" s="88"/>
      <x:c r="R158" s="88"/>
      <x:c r="S158" s="88"/>
      <x:c r="T158" s="88"/>
      <x:c r="U158" s="88"/>
      <x:c r="V158" s="88"/>
      <x:c r="W158" s="88"/>
    </x:row>
    <x:row r="159" ht="15.5" customHeight="1">
      <x:c r="A159" s="2"/>
      <x:c r="B159" s="77" t="str">
        <x:v>电子设备：转固分配比例</x:v>
      </x:c>
      <x:c r="C159" s="86" t="str">
        <x:v>近三年固定资产分类转入占比平均</x:v>
      </x:c>
      <x:c r="D159" s="88"/>
      <x:c r="E159" s="88"/>
      <x:c r="F159" s="88"/>
      <x:c r="G159" s="88"/>
      <x:c r="H159" s="88"/>
      <x:c r="I159" s="88"/>
      <x:c r="J159" s="88"/>
      <x:c r="K159" s="88"/>
      <x:c r="L159" s="88"/>
      <x:c r="M159" s="88"/>
      <x:c r="N159" s="88"/>
      <x:c r="O159" s="88"/>
      <x:c r="P159" s="88"/>
      <x:c r="Q159" s="88"/>
      <x:c r="R159" s="88"/>
      <x:c r="S159" s="88"/>
      <x:c r="T159" s="88"/>
      <x:c r="U159" s="88"/>
      <x:c r="V159" s="88"/>
      <x:c r="W159" s="88"/>
    </x:row>
    <x:row r="160" ht="21" customHeight="1">
      <x:c r="A160" s="2"/>
      <x:c r="B160" s="25" t="str">
        <x:v>七、在建工程滚动与转固预测</x:v>
      </x:c>
      <x:c r="C160" s="26" t="str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</x:row>
    <x:row r="161" ht="15.5" customHeight="1">
      <x:c r="A161" s="2"/>
      <x:c r="B161" s="2" t="str">
        <x:v>期初净值</x:v>
      </x:c>
      <x:c r="C161" s="6" t="str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 t="n">
        <x:f>IFERROR(0+(T7),"待填")</x:f>
        <x:v>0</x:v>
      </x:c>
      <x:c r="V161" s="4" t="n">
        <x:f>IFERROR(0+(U7),"待填")</x:f>
        <x:v>0</x:v>
      </x:c>
      <x:c r="W161" s="4" t="n">
        <x:f>IFERROR(0+(V7),"待填")</x:f>
        <x:v>0</x:v>
      </x:c>
    </x:row>
    <x:row r="162" ht="15.5" customHeight="1">
      <x:c r="A162" s="2"/>
      <x:c r="B162" s="2" t="str">
        <x:v>新增投入</x:v>
      </x:c>
      <x:c r="C162" s="6" t="str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 t="n">
        <x:f>IFERROR(0+(U151),"待填")</x:f>
        <x:v>0</x:v>
      </x:c>
      <x:c r="V162" s="4" t="n">
        <x:f>IFERROR(0+(V151),"待填")</x:f>
        <x:v>0</x:v>
      </x:c>
      <x:c r="W162" s="4" t="n">
        <x:f>IFERROR(0+(W151),"待填")</x:f>
        <x:v>0</x:v>
      </x:c>
    </x:row>
    <x:row r="163" ht="15.5" customHeight="1">
      <x:c r="A163" s="2"/>
      <x:c r="B163" s="2" t="str">
        <x:v>本年转固</x:v>
      </x:c>
      <x:c r="C163" s="6" t="str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 t="n">
        <x:f>IFERROR(0+((U161+U162)*U152),"待填")</x:f>
        <x:v>0</x:v>
      </x:c>
      <x:c r="V163" s="4" t="n">
        <x:f>IFERROR(0+((V161+V162)*V152),"待填")</x:f>
        <x:v>0</x:v>
      </x:c>
      <x:c r="W163" s="4" t="n">
        <x:f>IFERROR(0+((W161+W162)*W152),"待填")</x:f>
        <x:v>0</x:v>
      </x:c>
    </x:row>
    <x:row r="164" ht="15.5" customHeight="1">
      <x:c r="A164" s="2"/>
      <x:c r="B164" s="38" t="str">
        <x:v>期末净值</x:v>
      </x:c>
      <x:c r="C164" s="39" t="str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 t="n">
        <x:f>IFERROR(0+(U161+U162-U163),"待填")</x:f>
        <x:v>0</x:v>
      </x:c>
      <x:c r="V164" s="41" t="n">
        <x:f>IFERROR(0+(V161+V162-V163),"待填")</x:f>
        <x:v>0</x:v>
      </x:c>
      <x:c r="W164" s="41" t="n">
        <x:f>IFERROR(0+(W161+W162-W163),"待填")</x:f>
        <x:v>0</x:v>
      </x:c>
    </x:row>
    <x:row r="165" ht="15.5" customHeight="1">
      <x:c r="A165" s="2"/>
      <x:c r="B165" s="2" t="str">
        <x:v>房屋及建筑物：预测转固</x:v>
      </x:c>
      <x:c r="C165" s="6" t="str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 t="n">
        <x:f>IFERROR(0+(U163*U153),"待填")</x:f>
        <x:v>0</x:v>
      </x:c>
      <x:c r="V165" s="4" t="n">
        <x:f>IFERROR(0+(V163*V153),"待填")</x:f>
        <x:v>0</x:v>
      </x:c>
      <x:c r="W165" s="4" t="n">
        <x:f>IFERROR(0+(W163*W153),"待填")</x:f>
        <x:v>0</x:v>
      </x:c>
    </x:row>
    <x:row r="166" ht="15.5" customHeight="1">
      <x:c r="A166" s="2"/>
      <x:c r="B166" s="2" t="str">
        <x:v>通用设备：预测转固</x:v>
      </x:c>
      <x:c r="C166" s="6" t="str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 t="n">
        <x:f>IFERROR(0+(U163*U154),"待填")</x:f>
        <x:v>0</x:v>
      </x:c>
      <x:c r="V166" s="4" t="n">
        <x:f>IFERROR(0+(V163*V154),"待填")</x:f>
        <x:v>0</x:v>
      </x:c>
      <x:c r="W166" s="4" t="n">
        <x:f>IFERROR(0+(W163*W154),"待填")</x:f>
        <x:v>0</x:v>
      </x:c>
    </x:row>
    <x:row r="167" ht="15.5" customHeight="1">
      <x:c r="A167" s="2"/>
      <x:c r="B167" s="2" t="str">
        <x:v>专用设备：预测转固</x:v>
      </x:c>
      <x:c r="C167" s="6" t="str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 t="n">
        <x:f>IFERROR(0+(U163*U155),"待填")</x:f>
        <x:v>0</x:v>
      </x:c>
      <x:c r="V167" s="4" t="n">
        <x:f>IFERROR(0+(V163*V155),"待填")</x:f>
        <x:v>0</x:v>
      </x:c>
      <x:c r="W167" s="4" t="n">
        <x:f>IFERROR(0+(W163*W155),"待填")</x:f>
        <x:v>0</x:v>
      </x:c>
    </x:row>
    <x:row r="168" ht="15.5" customHeight="1">
      <x:c r="A168" s="2"/>
      <x:c r="B168" s="2" t="str">
        <x:v>机器设备：预测转固</x:v>
      </x:c>
      <x:c r="C168" s="6" t="str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 t="n">
        <x:f>IFERROR(0+(U163*U156),"待填")</x:f>
        <x:v>0</x:v>
      </x:c>
      <x:c r="V168" s="4" t="n">
        <x:f>IFERROR(0+(V163*V156),"待填")</x:f>
        <x:v>0</x:v>
      </x:c>
      <x:c r="W168" s="4" t="n">
        <x:f>IFERROR(0+(W163*W156),"待填")</x:f>
        <x:v>0</x:v>
      </x:c>
    </x:row>
    <x:row r="169" ht="15.5" customHeight="1">
      <x:c r="A169" s="2"/>
      <x:c r="B169" s="2" t="str">
        <x:v>运输工具：预测转固</x:v>
      </x:c>
      <x:c r="C169" s="6" t="str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 t="n">
        <x:f>IFERROR(0+(U163*U157),"待填")</x:f>
        <x:v>0</x:v>
      </x:c>
      <x:c r="V169" s="4" t="n">
        <x:f>IFERROR(0+(V163*V157),"待填")</x:f>
        <x:v>0</x:v>
      </x:c>
      <x:c r="W169" s="4" t="n">
        <x:f>IFERROR(0+(W163*W157),"待填")</x:f>
        <x:v>0</x:v>
      </x:c>
    </x:row>
    <x:row r="170" ht="15.5" customHeight="1">
      <x:c r="A170" s="2"/>
      <x:c r="B170" s="2" t="str">
        <x:v>融资租入固定资产：预测转固</x:v>
      </x:c>
      <x:c r="C170" s="6" t="str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 t="n">
        <x:f>IFERROR(0+(U163*U158),"待填")</x:f>
        <x:v>0</x:v>
      </x:c>
      <x:c r="V170" s="4" t="n">
        <x:f>IFERROR(0+(V163*V158),"待填")</x:f>
        <x:v>0</x:v>
      </x:c>
      <x:c r="W170" s="4" t="n">
        <x:f>IFERROR(0+(W163*W158),"待填")</x:f>
        <x:v>0</x:v>
      </x:c>
    </x:row>
    <x:row r="171" ht="15.5" customHeight="1">
      <x:c r="A171" s="2"/>
      <x:c r="B171" s="2" t="str">
        <x:v>电子设备：预测转固</x:v>
      </x:c>
      <x:c r="C171" s="6" t="str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 t="n">
        <x:f>IFERROR(0+(U163*U159),"待填")</x:f>
        <x:v>0</x:v>
      </x:c>
      <x:c r="V171" s="4" t="n">
        <x:f>IFERROR(0+(V163*V159),"待填")</x:f>
        <x:v>0</x:v>
      </x:c>
      <x:c r="W171" s="4" t="n">
        <x:f>IFERROR(0+(W163*W159),"待填")</x:f>
        <x:v>0</x:v>
      </x:c>
    </x:row>
    <x:row r="172" ht="25" customHeight="1">
      <x:c r="A172" s="2"/>
      <x:c r="B172" s="35" t="str">
        <x:v>【待补说明】填写该公司的口径、特殊事项和预测假设。</x:v>
      </x:c>
      <x:c r="C172" s="35" t="str">
        <x:v>【待补说明】填写该公司的口径、特殊事项和预测假设。</x:v>
      </x:c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</x:row>
    <x:row r="173" ht="25" customHeight="1">
      <x:c r="A173" s="2"/>
      <x:c r="B173" s="35" t="str">
        <x:v>【待补说明】填写该公司的口径、特殊事项和预测假设。</x:v>
      </x:c>
      <x:c r="C173" s="35" t="str">
        <x:v>【待补说明】填写该公司的口径、特殊事项和预测假设。</x:v>
      </x:c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</x:row>
    <x:row r="174" ht="25" customHeight="1">
      <x:c r="A174" s="2"/>
      <x:c r="B174" s="35" t="str">
        <x:v>【待补说明】填写该公司的口径、特殊事项和预测假设。</x:v>
      </x:c>
      <x:c r="C174" s="35" t="str">
        <x:v>【待补说明】填写该公司的口径、特殊事项和预测假设。</x:v>
      </x:c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</x:row>
  </x:sheetData>
  <x:mergeCells>
    <x:mergeCell ref="B1:W1"/>
    <x:mergeCell ref="B2:W2"/>
    <x:mergeCell ref="B3:W3"/>
    <x:mergeCell ref="B133:W133"/>
    <x:mergeCell ref="B172:W172"/>
    <x:mergeCell ref="B173:W173"/>
    <x:mergeCell ref="B174:W174"/>
  </x:mergeCells>
  <x:conditionalFormatting sqref="D22:W22">
    <x:cfRule type="expression" dxfId="30" priority="1">
      <x:formula>AND(ISNUMBER(D22),ABS(D22)&gt;0.02)</x:formula>
    </x:cfRule>
  </x:conditionalFormatting>
  <x:conditionalFormatting sqref="D31:W31">
    <x:cfRule type="expression" dxfId="31" priority="2">
      <x:formula>AND(ISNUMBER(D31),ABS(D31)&gt;0.02)</x:formula>
    </x:cfRule>
  </x:conditionalFormatting>
  <x:conditionalFormatting sqref="D40:W40">
    <x:cfRule type="expression" dxfId="32" priority="3">
      <x:formula>AND(ISNUMBER(D40),ABS(D40)&gt;0.02)</x:formula>
    </x:cfRule>
  </x:conditionalFormatting>
  <x:conditionalFormatting sqref="D49:W49">
    <x:cfRule type="expression" dxfId="33" priority="4">
      <x:formula>AND(ISNUMBER(D49),ABS(D49)&gt;0.02)</x:formula>
    </x:cfRule>
  </x:conditionalFormatting>
  <x:conditionalFormatting sqref="D58:W58">
    <x:cfRule type="expression" dxfId="34" priority="5">
      <x:formula>AND(ISNUMBER(D58),ABS(D58)&gt;0.02)</x:formula>
    </x:cfRule>
  </x:conditionalFormatting>
  <x:conditionalFormatting sqref="D67:W67">
    <x:cfRule type="expression" dxfId="35" priority="6">
      <x:formula>AND(ISNUMBER(D67),ABS(D67)&gt;0.02)</x:formula>
    </x:cfRule>
  </x:conditionalFormatting>
  <x:conditionalFormatting sqref="D76:W76">
    <x:cfRule type="expression" dxfId="36" priority="7">
      <x:formula>AND(ISNUMBER(D76),ABS(D76)&gt;0.02)</x:formula>
    </x:cfRule>
  </x:conditionalFormatting>
  <x:conditionalFormatting sqref="D85:W85">
    <x:cfRule type="expression" dxfId="37" priority="8">
      <x:formula>AND(ISNUMBER(D85),ABS(D85)&gt;0.02)</x:formula>
    </x:cfRule>
  </x:conditionalFormatting>
  <x:conditionalFormatting sqref="D94:W94">
    <x:cfRule type="expression" dxfId="38" priority="9">
      <x:formula>AND(ISNUMBER(D94),ABS(D94)&gt;0.02)</x:formula>
    </x:cfRule>
  </x:conditionalFormatting>
  <x:conditionalFormatting sqref="D103:W103">
    <x:cfRule type="expression" dxfId="39" priority="10">
      <x:formula>AND(ISNUMBER(D103),ABS(D103)&gt;0.02)</x:formula>
    </x:cfRule>
  </x:conditionalFormatting>
  <x:conditionalFormatting sqref="D112:W112">
    <x:cfRule type="expression" dxfId="40" priority="11">
      <x:formula>AND(ISNUMBER(D112),ABS(D112)&gt;0.02)</x:formula>
    </x:cfRule>
  </x:conditionalFormatting>
  <x:conditionalFormatting sqref="D149:W149">
    <x:cfRule type="expression" dxfId="41" priority="12">
      <x:formula>AND(ISNUMBER(D149),ABS(D149)&gt;0.02)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20" max="20" width="13.829999923706055" hidden="0" customWidth="1"/>
    <x:col min="21" max="21" width="13.829999923706055" hidden="0" customWidth="1"/>
    <x:col min="22" max="22" width="13.829999923706055" hidden="0" customWidth="1"/>
    <x:col min="23" max="23" width="13.829999923706055" hidden="0" customWidth="1"/>
    <x:col min="1" max="1" width="2.6600000858306885" hidden="0" customWidth="1"/>
    <x:col min="2" max="2" width="36.65999984741211" hidden="0" customWidth="1"/>
    <x:col min="3" max="3" width="16.5" hidden="0" customWidth="1"/>
  </x:cols>
  <x:sheetData>
    <x:row r="1" ht="26" customHeight="1">
      <x:c r="A1" s="2"/>
      <x:c r="B1" s="7" t="str">
        <x:v>示例公司无形资产：分类别滚动及摊销预测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2009基准</x:v>
      </x:c>
      <x:c r="E5" s="21" t="str">
        <x:v>2010A</x:v>
      </x:c>
      <x:c r="F5" s="21" t="str">
        <x:v>2011A</x:v>
      </x:c>
      <x:c r="G5" s="21" t="str">
        <x:v>2012A</x:v>
      </x:c>
      <x:c r="H5" s="21" t="str">
        <x:v>2013A</x:v>
      </x:c>
      <x:c r="I5" s="21" t="str">
        <x:v>2014A</x:v>
      </x:c>
      <x:c r="J5" s="21" t="str">
        <x:v>2015A</x:v>
      </x:c>
      <x:c r="K5" s="21" t="str">
        <x:v>2016A</x:v>
      </x:c>
      <x:c r="L5" s="21" t="str">
        <x:v>2017A</x:v>
      </x:c>
      <x:c r="M5" s="21" t="str">
        <x:v>2018A</x:v>
      </x:c>
      <x:c r="N5" s="21" t="str">
        <x:v>2019A</x:v>
      </x:c>
      <x:c r="O5" s="21" t="str">
        <x:v>2020A</x:v>
      </x:c>
      <x:c r="P5" s="21" t="str">
        <x:v>2021A</x:v>
      </x:c>
      <x:c r="Q5" s="21" t="str">
        <x:v>2022A</x:v>
      </x:c>
      <x:c r="R5" s="21" t="str">
        <x:v>2023A</x:v>
      </x:c>
      <x:c r="S5" s="21" t="str">
        <x:v>2024A</x:v>
      </x:c>
      <x:c r="T5" s="21" t="str">
        <x:v>2025A</x:v>
      </x:c>
      <x:c r="U5" s="21" t="str">
        <x:v>2026E</x:v>
      </x:c>
      <x:c r="V5" s="21" t="str">
        <x:v>2027E</x:v>
      </x:c>
      <x:c r="W5" s="21" t="str">
        <x:v>2028E</x:v>
      </x:c>
    </x:row>
    <x:row r="6" ht="21" customHeight="1">
      <x:c r="A6" s="2"/>
      <x:c r="B6" s="25" t="str">
        <x:v>1、期末账面净值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 ht="15.5" customHeight="1">
      <x:c r="A7" s="2"/>
      <x:c r="B7" s="2" t="str">
        <x:v>土地使用权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 t="n">
        <x:f>IFERROR(0+(U16-U23-U30),"待填")</x:f>
        <x:v>0</x:v>
      </x:c>
      <x:c r="V7" s="4" t="n">
        <x:f>IFERROR(0+(V16-V23-V30),"待填")</x:f>
        <x:v>0</x:v>
      </x:c>
      <x:c r="W7" s="4" t="n">
        <x:f>IFERROR(0+(W16-W23-W30),"待填")</x:f>
        <x:v>0</x:v>
      </x:c>
    </x:row>
    <x:row r="8" ht="15.5" customHeight="1">
      <x:c r="A8" s="2"/>
      <x:c r="B8" s="2" t="str">
        <x:v>专利权</x:v>
      </x:c>
      <x:c r="C8" s="6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 t="n">
        <x:f>IFERROR(0+(U17-U24-U31),"待填")</x:f>
        <x:v>0</x:v>
      </x:c>
      <x:c r="V8" s="4" t="n">
        <x:f>IFERROR(0+(V17-V24-V31),"待填")</x:f>
        <x:v>0</x:v>
      </x:c>
      <x:c r="W8" s="4" t="n">
        <x:f>IFERROR(0+(W17-W24-W31),"待填")</x:f>
        <x:v>0</x:v>
      </x:c>
    </x:row>
    <x:row r="9" ht="15.5" customHeight="1">
      <x:c r="A9" s="2"/>
      <x:c r="B9" s="2" t="str">
        <x:v>非专利技术</x:v>
      </x:c>
      <x:c r="C9" s="6" t="str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 t="n">
        <x:f>IFERROR(0+(U18-U25-U32),"待填")</x:f>
        <x:v>0</x:v>
      </x:c>
      <x:c r="V9" s="4" t="n">
        <x:f>IFERROR(0+(V18-V25-V32),"待填")</x:f>
        <x:v>0</x:v>
      </x:c>
      <x:c r="W9" s="4" t="n">
        <x:f>IFERROR(0+(W18-W25-W32),"待填")</x:f>
        <x:v>0</x:v>
      </x:c>
    </x:row>
    <x:row r="10" ht="15.5" customHeight="1">
      <x:c r="A10" s="2"/>
      <x:c r="B10" s="2" t="str">
        <x:v>软件</x:v>
      </x:c>
      <x:c r="C10" s="6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 t="n">
        <x:f>IFERROR(0+(U19-U26-U33),"待填")</x:f>
        <x:v>0</x:v>
      </x:c>
      <x:c r="V10" s="4" t="n">
        <x:f>IFERROR(0+(V19-V26-V33),"待填")</x:f>
        <x:v>0</x:v>
      </x:c>
      <x:c r="W10" s="4" t="n">
        <x:f>IFERROR(0+(W19-W26-W33),"待填")</x:f>
        <x:v>0</x:v>
      </x:c>
    </x:row>
    <x:row r="11" ht="15.5" customHeight="1">
      <x:c r="A11" s="2"/>
      <x:c r="B11" s="2" t="str">
        <x:v>车位使用权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 t="n">
        <x:f>IFERROR(0+(U20-U27-U34),"待填")</x:f>
        <x:v>0</x:v>
      </x:c>
      <x:c r="V11" s="4" t="n">
        <x:f>IFERROR(0+(V20-V27-V34),"待填")</x:f>
        <x:v>0</x:v>
      </x:c>
      <x:c r="W11" s="4" t="n">
        <x:f>IFERROR(0+(W20-W27-W34),"待填")</x:f>
        <x:v>0</x:v>
      </x:c>
    </x:row>
    <x:row r="12" ht="15.5" customHeight="1">
      <x:c r="A12" s="2"/>
      <x:c r="B12" s="38" t="str">
        <x:v>期末账面净值合计</x:v>
      </x:c>
      <x:c r="C12" s="39" t="str"/>
      <x:c r="D12" s="41" t="n">
        <x:f>IFERROR(0+(SUM(D7:D11)),"待填")</x:f>
        <x:v>0</x:v>
      </x:c>
      <x:c r="E12" s="41" t="n">
        <x:f>IFERROR(0+(SUM(E7:E11)),"待填")</x:f>
        <x:v>0</x:v>
      </x:c>
      <x:c r="F12" s="41" t="n">
        <x:f>IFERROR(0+(SUM(F7:F11)),"待填")</x:f>
        <x:v>0</x:v>
      </x:c>
      <x:c r="G12" s="41" t="n">
        <x:f>IFERROR(0+(SUM(G7:G11)),"待填")</x:f>
        <x:v>0</x:v>
      </x:c>
      <x:c r="H12" s="41" t="n">
        <x:f>IFERROR(0+(SUM(H7:H11)),"待填")</x:f>
        <x:v>0</x:v>
      </x:c>
      <x:c r="I12" s="41" t="n">
        <x:f>IFERROR(0+(SUM(I7:I11)),"待填")</x:f>
        <x:v>0</x:v>
      </x:c>
      <x:c r="J12" s="41" t="n">
        <x:f>IFERROR(0+(SUM(J7:J11)),"待填")</x:f>
        <x:v>0</x:v>
      </x:c>
      <x:c r="K12" s="41" t="n">
        <x:f>IFERROR(0+(SUM(K7:K11)),"待填")</x:f>
        <x:v>0</x:v>
      </x:c>
      <x:c r="L12" s="41" t="n">
        <x:f>IFERROR(0+(SUM(L7:L11)),"待填")</x:f>
        <x:v>0</x:v>
      </x:c>
      <x:c r="M12" s="41" t="n">
        <x:f>IFERROR(0+(SUM(M7:M11)),"待填")</x:f>
        <x:v>0</x:v>
      </x:c>
      <x:c r="N12" s="41" t="n">
        <x:f>IFERROR(0+(SUM(N7:N11)),"待填")</x:f>
        <x:v>0</x:v>
      </x:c>
      <x:c r="O12" s="41" t="n">
        <x:f>IFERROR(0+(SUM(O7:O11)),"待填")</x:f>
        <x:v>0</x:v>
      </x:c>
      <x:c r="P12" s="41" t="n">
        <x:f>IFERROR(0+(SUM(P7:P11)),"待填")</x:f>
        <x:v>0</x:v>
      </x:c>
      <x:c r="Q12" s="41" t="n">
        <x:f>IFERROR(0+(SUM(Q7:Q11)),"待填")</x:f>
        <x:v>0</x:v>
      </x:c>
      <x:c r="R12" s="41" t="n">
        <x:f>IFERROR(0+(SUM(R7:R11)),"待填")</x:f>
        <x:v>0</x:v>
      </x:c>
      <x:c r="S12" s="41" t="n">
        <x:f>IFERROR(0+(SUM(S7:S11)),"待填")</x:f>
        <x:v>0</x:v>
      </x:c>
      <x:c r="T12" s="41" t="n">
        <x:f>IFERROR(0+(SUM(T7:T11)),"待填")</x:f>
        <x:v>0</x:v>
      </x:c>
      <x:c r="U12" s="41" t="n">
        <x:f>IFERROR(0+(SUM(U7:U11)),"待填")</x:f>
        <x:v>0</x:v>
      </x:c>
      <x:c r="V12" s="41" t="n">
        <x:f>IFERROR(0+(SUM(V7:V11)),"待填")</x:f>
        <x:v>0</x:v>
      </x:c>
      <x:c r="W12" s="41" t="n">
        <x:f>IFERROR(0+(SUM(W7:W11)),"待填")</x:f>
        <x:v>0</x:v>
      </x:c>
    </x:row>
    <x:row r="13" ht="15.5" customHeight="1">
      <x:c r="A13" s="2"/>
      <x:c r="B13" s="2" t="str">
        <x:v>资产负债表披露净值</x:v>
      </x:c>
      <x:c r="C13" s="6" t="str"/>
      <x:c r="D13" s="4"/>
      <x:c r="E13" s="4" t="n">
        <x:f>IFERROR(0+('示例公司三表'!D99*1000),"待填")</x:f>
        <x:v>0</x:v>
      </x:c>
      <x:c r="F13" s="4" t="n">
        <x:f>IFERROR(0+('示例公司三表'!E99*1000),"待填")</x:f>
        <x:v>0</x:v>
      </x:c>
      <x:c r="G13" s="4" t="n">
        <x:f>IFERROR(0+('示例公司三表'!F99*1000),"待填")</x:f>
        <x:v>0</x:v>
      </x:c>
      <x:c r="H13" s="4" t="n">
        <x:f>IFERROR(0+('示例公司三表'!G99*1000),"待填")</x:f>
        <x:v>0</x:v>
      </x:c>
      <x:c r="I13" s="4" t="n">
        <x:f>IFERROR(0+('示例公司三表'!H99*1000),"待填")</x:f>
        <x:v>0</x:v>
      </x:c>
      <x:c r="J13" s="4" t="n">
        <x:f>IFERROR(0+('示例公司三表'!I99*1000),"待填")</x:f>
        <x:v>0</x:v>
      </x:c>
      <x:c r="K13" s="4" t="n">
        <x:f>IFERROR(0+('示例公司三表'!J99*1000),"待填")</x:f>
        <x:v>0</x:v>
      </x:c>
      <x:c r="L13" s="4" t="n">
        <x:f>IFERROR(0+('示例公司三表'!K99*1000),"待填")</x:f>
        <x:v>0</x:v>
      </x:c>
      <x:c r="M13" s="4" t="n">
        <x:f>IFERROR(0+('示例公司三表'!L99*1000),"待填")</x:f>
        <x:v>0</x:v>
      </x:c>
      <x:c r="N13" s="4" t="n">
        <x:f>IFERROR(0+('示例公司三表'!M99*1000),"待填")</x:f>
        <x:v>0</x:v>
      </x:c>
      <x:c r="O13" s="4" t="n">
        <x:f>IFERROR(0+('示例公司三表'!N99*1000),"待填")</x:f>
        <x:v>0</x:v>
      </x:c>
      <x:c r="P13" s="4" t="n">
        <x:f>IFERROR(0+('示例公司三表'!O99*1000),"待填")</x:f>
        <x:v>0</x:v>
      </x:c>
      <x:c r="Q13" s="4" t="n">
        <x:f>IFERROR(0+('示例公司三表'!P99*1000),"待填")</x:f>
        <x:v>0</x:v>
      </x:c>
      <x:c r="R13" s="4" t="n">
        <x:f>IFERROR(0+('示例公司三表'!Q99*1000),"待填")</x:f>
        <x:v>0</x:v>
      </x:c>
      <x:c r="S13" s="4" t="n">
        <x:f>IFERROR(0+('示例公司三表'!R99*1000),"待填")</x:f>
        <x:v>0</x:v>
      </x:c>
      <x:c r="T13" s="4" t="n">
        <x:f>IFERROR(0+('示例公司三表'!S99*1000),"待填")</x:f>
        <x:v>0</x:v>
      </x:c>
      <x:c r="U13" s="4"/>
      <x:c r="V13" s="4"/>
      <x:c r="W13" s="4"/>
    </x:row>
    <x:row r="14" ht="15.5" customHeight="1">
      <x:c r="A14" s="2"/>
      <x:c r="B14" s="29" t="str">
        <x:v>分类净值与合并报表差额</x:v>
      </x:c>
      <x:c r="C14" s="32" t="str"/>
      <x:c r="D14" s="33" t="n">
        <x:f>IFERROR(0+(D12-D13),"待填")</x:f>
        <x:v>0</x:v>
      </x:c>
      <x:c r="E14" s="33" t="n">
        <x:f>IFERROR(0+(E12-E13),"待填")</x:f>
        <x:v>0</x:v>
      </x:c>
      <x:c r="F14" s="33" t="n">
        <x:f>IFERROR(0+(F12-F13),"待填")</x:f>
        <x:v>0</x:v>
      </x:c>
      <x:c r="G14" s="33" t="n">
        <x:f>IFERROR(0+(G12-G13),"待填")</x:f>
        <x:v>0</x:v>
      </x:c>
      <x:c r="H14" s="33" t="n">
        <x:f>IFERROR(0+(H12-H13),"待填")</x:f>
        <x:v>0</x:v>
      </x:c>
      <x:c r="I14" s="33" t="n">
        <x:f>IFERROR(0+(I12-I13),"待填")</x:f>
        <x:v>0</x:v>
      </x:c>
      <x:c r="J14" s="33" t="n">
        <x:f>IFERROR(0+(J12-J13),"待填")</x:f>
        <x:v>0</x:v>
      </x:c>
      <x:c r="K14" s="33" t="n">
        <x:f>IFERROR(0+(K12-K13),"待填")</x:f>
        <x:v>0</x:v>
      </x:c>
      <x:c r="L14" s="33" t="n">
        <x:f>IFERROR(0+(L12-L13),"待填")</x:f>
        <x:v>0</x:v>
      </x:c>
      <x:c r="M14" s="33" t="n">
        <x:f>IFERROR(0+(M12-M13),"待填")</x:f>
        <x:v>0</x:v>
      </x:c>
      <x:c r="N14" s="33" t="n">
        <x:f>IFERROR(0+(N12-N13),"待填")</x:f>
        <x:v>0</x:v>
      </x:c>
      <x:c r="O14" s="33" t="n">
        <x:f>IFERROR(0+(O12-O13),"待填")</x:f>
        <x:v>0</x:v>
      </x:c>
      <x:c r="P14" s="33" t="n">
        <x:f>IFERROR(0+(P12-P13),"待填")</x:f>
        <x:v>0</x:v>
      </x:c>
      <x:c r="Q14" s="33" t="n">
        <x:f>IFERROR(0+(Q12-Q13),"待填")</x:f>
        <x:v>0</x:v>
      </x:c>
      <x:c r="R14" s="33" t="n">
        <x:f>IFERROR(0+(R12-R13),"待填")</x:f>
        <x:v>0</x:v>
      </x:c>
      <x:c r="S14" s="33" t="n">
        <x:f>IFERROR(0+(S12-S13),"待填")</x:f>
        <x:v>0</x:v>
      </x:c>
      <x:c r="T14" s="33" t="n">
        <x:f>IFERROR(0+(T12-T13),"待填")</x:f>
        <x:v>0</x:v>
      </x:c>
      <x:c r="U14" s="33"/>
      <x:c r="V14" s="33"/>
      <x:c r="W14" s="33"/>
    </x:row>
    <x:row r="15" ht="21" customHeight="1">
      <x:c r="A15" s="2"/>
      <x:c r="B15" s="25" t="str">
        <x:v>2、期末账面原价</x:v>
      </x:c>
      <x:c r="C15" s="26" t="str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</x:row>
    <x:row r="16" ht="15.5" customHeight="1">
      <x:c r="A16" s="2"/>
      <x:c r="B16" s="2" t="str">
        <x:v>土地使用权</x:v>
      </x:c>
      <x:c r="C16" s="6" t="str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 t="n">
        <x:f>IFERROR(0+(T16+U81+U74-U88),"待填")</x:f>
        <x:v>0</x:v>
      </x:c>
      <x:c r="V16" s="4" t="n">
        <x:f>IFERROR(0+(U16+V81+V74-V88),"待填")</x:f>
        <x:v>0</x:v>
      </x:c>
      <x:c r="W16" s="4" t="n">
        <x:f>IFERROR(0+(V16+W81+W74-W88),"待填")</x:f>
        <x:v>0</x:v>
      </x:c>
    </x:row>
    <x:row r="17" ht="15.5" customHeight="1">
      <x:c r="A17" s="2"/>
      <x:c r="B17" s="2" t="str">
        <x:v>专利权</x:v>
      </x:c>
      <x:c r="C17" s="6" t="str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 t="n">
        <x:f>IFERROR(0+(T17+U82+U75-U89),"待填")</x:f>
        <x:v>0</x:v>
      </x:c>
      <x:c r="V17" s="4" t="n">
        <x:f>IFERROR(0+(U17+V82+V75-V89),"待填")</x:f>
        <x:v>0</x:v>
      </x:c>
      <x:c r="W17" s="4" t="n">
        <x:f>IFERROR(0+(V17+W82+W75-W89),"待填")</x:f>
        <x:v>0</x:v>
      </x:c>
    </x:row>
    <x:row r="18" ht="15.5" customHeight="1">
      <x:c r="A18" s="2"/>
      <x:c r="B18" s="2" t="str">
        <x:v>非专利技术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n">
        <x:f>IFERROR(0+(T18+U83+U76-U90),"待填")</x:f>
        <x:v>0</x:v>
      </x:c>
      <x:c r="V18" s="4" t="n">
        <x:f>IFERROR(0+(U18+V83+V76-V90),"待填")</x:f>
        <x:v>0</x:v>
      </x:c>
      <x:c r="W18" s="4" t="n">
        <x:f>IFERROR(0+(V18+W83+W76-W90),"待填")</x:f>
        <x:v>0</x:v>
      </x:c>
    </x:row>
    <x:row r="19" ht="15.5" customHeight="1">
      <x:c r="A19" s="2"/>
      <x:c r="B19" s="2" t="str">
        <x:v>软件</x:v>
      </x:c>
      <x:c r="C19" s="6" t="str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 t="n">
        <x:f>IFERROR(0+(T19+U84+U77-U91),"待填")</x:f>
        <x:v>0</x:v>
      </x:c>
      <x:c r="V19" s="4" t="n">
        <x:f>IFERROR(0+(U19+V84+V77-V91),"待填")</x:f>
        <x:v>0</x:v>
      </x:c>
      <x:c r="W19" s="4" t="n">
        <x:f>IFERROR(0+(V19+W84+W77-W91),"待填")</x:f>
        <x:v>0</x:v>
      </x:c>
    </x:row>
    <x:row r="20" ht="15.5" customHeight="1">
      <x:c r="A20" s="2"/>
      <x:c r="B20" s="2" t="str">
        <x:v>车位使用权</x:v>
      </x:c>
      <x:c r="C20" s="6" t="str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 t="n">
        <x:f>IFERROR(0+(T20+U85+U78-U92),"待填")</x:f>
        <x:v>0</x:v>
      </x:c>
      <x:c r="V20" s="4" t="n">
        <x:f>IFERROR(0+(U20+V85+V78-V92),"待填")</x:f>
        <x:v>0</x:v>
      </x:c>
      <x:c r="W20" s="4" t="n">
        <x:f>IFERROR(0+(V20+W85+W78-W92),"待填")</x:f>
        <x:v>0</x:v>
      </x:c>
    </x:row>
    <x:row r="21" ht="15.5" customHeight="1">
      <x:c r="A21" s="2"/>
      <x:c r="B21" s="38" t="str">
        <x:v>期末账面原价合计</x:v>
      </x:c>
      <x:c r="C21" s="39" t="str"/>
      <x:c r="D21" s="41" t="n">
        <x:f>IFERROR(0+(SUM(D16:D20)),"待填")</x:f>
        <x:v>0</x:v>
      </x:c>
      <x:c r="E21" s="41" t="n">
        <x:f>IFERROR(0+(SUM(E16:E20)),"待填")</x:f>
        <x:v>0</x:v>
      </x:c>
      <x:c r="F21" s="41" t="n">
        <x:f>IFERROR(0+(SUM(F16:F20)),"待填")</x:f>
        <x:v>0</x:v>
      </x:c>
      <x:c r="G21" s="41" t="n">
        <x:f>IFERROR(0+(SUM(G16:G20)),"待填")</x:f>
        <x:v>0</x:v>
      </x:c>
      <x:c r="H21" s="41" t="n">
        <x:f>IFERROR(0+(SUM(H16:H20)),"待填")</x:f>
        <x:v>0</x:v>
      </x:c>
      <x:c r="I21" s="41" t="n">
        <x:f>IFERROR(0+(SUM(I16:I20)),"待填")</x:f>
        <x:v>0</x:v>
      </x:c>
      <x:c r="J21" s="41" t="n">
        <x:f>IFERROR(0+(SUM(J16:J20)),"待填")</x:f>
        <x:v>0</x:v>
      </x:c>
      <x:c r="K21" s="41" t="n">
        <x:f>IFERROR(0+(SUM(K16:K20)),"待填")</x:f>
        <x:v>0</x:v>
      </x:c>
      <x:c r="L21" s="41" t="n">
        <x:f>IFERROR(0+(SUM(L16:L20)),"待填")</x:f>
        <x:v>0</x:v>
      </x:c>
      <x:c r="M21" s="41" t="n">
        <x:f>IFERROR(0+(SUM(M16:M20)),"待填")</x:f>
        <x:v>0</x:v>
      </x:c>
      <x:c r="N21" s="41" t="n">
        <x:f>IFERROR(0+(SUM(N16:N20)),"待填")</x:f>
        <x:v>0</x:v>
      </x:c>
      <x:c r="O21" s="41" t="n">
        <x:f>IFERROR(0+(SUM(O16:O20)),"待填")</x:f>
        <x:v>0</x:v>
      </x:c>
      <x:c r="P21" s="41" t="n">
        <x:f>IFERROR(0+(SUM(P16:P20)),"待填")</x:f>
        <x:v>0</x:v>
      </x:c>
      <x:c r="Q21" s="41" t="n">
        <x:f>IFERROR(0+(SUM(Q16:Q20)),"待填")</x:f>
        <x:v>0</x:v>
      </x:c>
      <x:c r="R21" s="41" t="n">
        <x:f>IFERROR(0+(SUM(R16:R20)),"待填")</x:f>
        <x:v>0</x:v>
      </x:c>
      <x:c r="S21" s="41" t="n">
        <x:f>IFERROR(0+(SUM(S16:S20)),"待填")</x:f>
        <x:v>0</x:v>
      </x:c>
      <x:c r="T21" s="41" t="n">
        <x:f>IFERROR(0+(SUM(T16:T20)),"待填")</x:f>
        <x:v>0</x:v>
      </x:c>
      <x:c r="U21" s="41" t="n">
        <x:f>IFERROR(0+(SUM(U16:U20)),"待填")</x:f>
        <x:v>0</x:v>
      </x:c>
      <x:c r="V21" s="41" t="n">
        <x:f>IFERROR(0+(SUM(V16:V20)),"待填")</x:f>
        <x:v>0</x:v>
      </x:c>
      <x:c r="W21" s="41" t="n">
        <x:f>IFERROR(0+(SUM(W16:W20)),"待填")</x:f>
        <x:v>0</x:v>
      </x:c>
    </x:row>
    <x:row r="22" ht="21" customHeight="1">
      <x:c r="A22" s="2"/>
      <x:c r="B22" s="25" t="str">
        <x:v>3、期末累计摊销</x:v>
      </x:c>
      <x:c r="C22" s="26" t="str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</x:row>
    <x:row r="23" ht="15.5" customHeight="1">
      <x:c r="A23" s="2"/>
      <x:c r="B23" s="2" t="str">
        <x:v>土地使用权</x:v>
      </x:c>
      <x:c r="C23" s="6" t="str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n">
        <x:f>IFERROR(0+(T23*(1-U60)+U37),"待填")</x:f>
        <x:v>0</x:v>
      </x:c>
      <x:c r="V23" s="4" t="n">
        <x:f>IFERROR(0+(U23*(1-V60)+V37),"待填")</x:f>
        <x:v>0</x:v>
      </x:c>
      <x:c r="W23" s="4" t="n">
        <x:f>IFERROR(0+(V23*(1-W60)+W37),"待填")</x:f>
        <x:v>0</x:v>
      </x:c>
    </x:row>
    <x:row r="24" ht="15.5" customHeight="1">
      <x:c r="A24" s="2"/>
      <x:c r="B24" s="2" t="str">
        <x:v>专利权</x:v>
      </x:c>
      <x:c r="C24" s="6" t="str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 t="n">
        <x:f>IFERROR(0+(T24*(1-U61)+U38),"待填")</x:f>
        <x:v>0</x:v>
      </x:c>
      <x:c r="V24" s="4" t="n">
        <x:f>IFERROR(0+(U24*(1-V61)+V38),"待填")</x:f>
        <x:v>0</x:v>
      </x:c>
      <x:c r="W24" s="4" t="n">
        <x:f>IFERROR(0+(V24*(1-W61)+W38),"待填")</x:f>
        <x:v>0</x:v>
      </x:c>
    </x:row>
    <x:row r="25" ht="15.5" customHeight="1">
      <x:c r="A25" s="2"/>
      <x:c r="B25" s="2" t="str">
        <x:v>非专利技术</x:v>
      </x:c>
      <x:c r="C25" s="6" t="str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 t="n">
        <x:f>IFERROR(0+(T25*(1-U62)+U39),"待填")</x:f>
        <x:v>0</x:v>
      </x:c>
      <x:c r="V25" s="4" t="n">
        <x:f>IFERROR(0+(U25*(1-V62)+V39),"待填")</x:f>
        <x:v>0</x:v>
      </x:c>
      <x:c r="W25" s="4" t="n">
        <x:f>IFERROR(0+(V25*(1-W62)+W39),"待填")</x:f>
        <x:v>0</x:v>
      </x:c>
    </x:row>
    <x:row r="26" ht="15.5" customHeight="1">
      <x:c r="A26" s="2"/>
      <x:c r="B26" s="2" t="str">
        <x:v>软件</x:v>
      </x:c>
      <x:c r="C26" s="6" t="str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 t="n">
        <x:f>IFERROR(0+(T26*(1-U63)+U40),"待填")</x:f>
        <x:v>0</x:v>
      </x:c>
      <x:c r="V26" s="4" t="n">
        <x:f>IFERROR(0+(U26*(1-V63)+V40),"待填")</x:f>
        <x:v>0</x:v>
      </x:c>
      <x:c r="W26" s="4" t="n">
        <x:f>IFERROR(0+(V26*(1-W63)+W40),"待填")</x:f>
        <x:v>0</x:v>
      </x:c>
    </x:row>
    <x:row r="27" ht="15.5" customHeight="1">
      <x:c r="A27" s="2"/>
      <x:c r="B27" s="2" t="str">
        <x:v>车位使用权</x:v>
      </x:c>
      <x:c r="C27" s="6" t="str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 t="n">
        <x:f>IFERROR(0+(T27*(1-U64)+U41),"待填")</x:f>
        <x:v>0</x:v>
      </x:c>
      <x:c r="V27" s="4" t="n">
        <x:f>IFERROR(0+(U27*(1-V64)+V41),"待填")</x:f>
        <x:v>0</x:v>
      </x:c>
      <x:c r="W27" s="4" t="n">
        <x:f>IFERROR(0+(V27*(1-W64)+W41),"待填")</x:f>
        <x:v>0</x:v>
      </x:c>
    </x:row>
    <x:row r="28" ht="15.5" customHeight="1">
      <x:c r="A28" s="2"/>
      <x:c r="B28" s="38" t="str">
        <x:v>期末累计摊销合计</x:v>
      </x:c>
      <x:c r="C28" s="39" t="str"/>
      <x:c r="D28" s="41" t="n">
        <x:f>IFERROR(0+(SUM(D23:D27)),"待填")</x:f>
        <x:v>0</x:v>
      </x:c>
      <x:c r="E28" s="41" t="n">
        <x:f>IFERROR(0+(SUM(E23:E27)),"待填")</x:f>
        <x:v>0</x:v>
      </x:c>
      <x:c r="F28" s="41" t="n">
        <x:f>IFERROR(0+(SUM(F23:F27)),"待填")</x:f>
        <x:v>0</x:v>
      </x:c>
      <x:c r="G28" s="41" t="n">
        <x:f>IFERROR(0+(SUM(G23:G27)),"待填")</x:f>
        <x:v>0</x:v>
      </x:c>
      <x:c r="H28" s="41" t="n">
        <x:f>IFERROR(0+(SUM(H23:H27)),"待填")</x:f>
        <x:v>0</x:v>
      </x:c>
      <x:c r="I28" s="41" t="n">
        <x:f>IFERROR(0+(SUM(I23:I27)),"待填")</x:f>
        <x:v>0</x:v>
      </x:c>
      <x:c r="J28" s="41" t="n">
        <x:f>IFERROR(0+(SUM(J23:J27)),"待填")</x:f>
        <x:v>0</x:v>
      </x:c>
      <x:c r="K28" s="41" t="n">
        <x:f>IFERROR(0+(SUM(K23:K27)),"待填")</x:f>
        <x:v>0</x:v>
      </x:c>
      <x:c r="L28" s="41" t="n">
        <x:f>IFERROR(0+(SUM(L23:L27)),"待填")</x:f>
        <x:v>0</x:v>
      </x:c>
      <x:c r="M28" s="41" t="n">
        <x:f>IFERROR(0+(SUM(M23:M27)),"待填")</x:f>
        <x:v>0</x:v>
      </x:c>
      <x:c r="N28" s="41" t="n">
        <x:f>IFERROR(0+(SUM(N23:N27)),"待填")</x:f>
        <x:v>0</x:v>
      </x:c>
      <x:c r="O28" s="41" t="n">
        <x:f>IFERROR(0+(SUM(O23:O27)),"待填")</x:f>
        <x:v>0</x:v>
      </x:c>
      <x:c r="P28" s="41" t="n">
        <x:f>IFERROR(0+(SUM(P23:P27)),"待填")</x:f>
        <x:v>0</x:v>
      </x:c>
      <x:c r="Q28" s="41" t="n">
        <x:f>IFERROR(0+(SUM(Q23:Q27)),"待填")</x:f>
        <x:v>0</x:v>
      </x:c>
      <x:c r="R28" s="41" t="n">
        <x:f>IFERROR(0+(SUM(R23:R27)),"待填")</x:f>
        <x:v>0</x:v>
      </x:c>
      <x:c r="S28" s="41" t="n">
        <x:f>IFERROR(0+(SUM(S23:S27)),"待填")</x:f>
        <x:v>0</x:v>
      </x:c>
      <x:c r="T28" s="41" t="n">
        <x:f>IFERROR(0+(SUM(T23:T27)),"待填")</x:f>
        <x:v>0</x:v>
      </x:c>
      <x:c r="U28" s="41" t="n">
        <x:f>IFERROR(0+(SUM(U23:U27)),"待填")</x:f>
        <x:v>0</x:v>
      </x:c>
      <x:c r="V28" s="41" t="n">
        <x:f>IFERROR(0+(SUM(V23:V27)),"待填")</x:f>
        <x:v>0</x:v>
      </x:c>
      <x:c r="W28" s="41" t="n">
        <x:f>IFERROR(0+(SUM(W23:W27)),"待填")</x:f>
        <x:v>0</x:v>
      </x:c>
    </x:row>
    <x:row r="29" ht="21" customHeight="1">
      <x:c r="A29" s="2"/>
      <x:c r="B29" s="25" t="str">
        <x:v>4、期末减值准备</x:v>
      </x:c>
      <x:c r="C29" s="26" t="str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</x:row>
    <x:row r="30" ht="15.5" customHeight="1">
      <x:c r="A30" s="2"/>
      <x:c r="B30" s="2" t="str">
        <x:v>土地使用权</x:v>
      </x:c>
      <x:c r="C30" s="6" t="str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 t="n">
        <x:f>IFERROR(0+(T30),"待填")</x:f>
        <x:v>0</x:v>
      </x:c>
      <x:c r="V30" s="4" t="n">
        <x:f>IFERROR(0+(U30),"待填")</x:f>
        <x:v>0</x:v>
      </x:c>
      <x:c r="W30" s="4" t="n">
        <x:f>IFERROR(0+(V30),"待填")</x:f>
        <x:v>0</x:v>
      </x:c>
    </x:row>
    <x:row r="31" ht="15.5" customHeight="1">
      <x:c r="A31" s="2"/>
      <x:c r="B31" s="2" t="str">
        <x:v>专利权</x:v>
      </x:c>
      <x:c r="C31" s="6" t="str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 t="n">
        <x:f>IFERROR(0+(T31),"待填")</x:f>
        <x:v>0</x:v>
      </x:c>
      <x:c r="V31" s="4" t="n">
        <x:f>IFERROR(0+(U31),"待填")</x:f>
        <x:v>0</x:v>
      </x:c>
      <x:c r="W31" s="4" t="n">
        <x:f>IFERROR(0+(V31),"待填")</x:f>
        <x:v>0</x:v>
      </x:c>
    </x:row>
    <x:row r="32" ht="15.5" customHeight="1">
      <x:c r="A32" s="2"/>
      <x:c r="B32" s="2" t="str">
        <x:v>非专利技术</x:v>
      </x:c>
      <x:c r="C32" s="6" t="str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 t="n">
        <x:f>IFERROR(0+(T32),"待填")</x:f>
        <x:v>0</x:v>
      </x:c>
      <x:c r="V32" s="4" t="n">
        <x:f>IFERROR(0+(U32),"待填")</x:f>
        <x:v>0</x:v>
      </x:c>
      <x:c r="W32" s="4" t="n">
        <x:f>IFERROR(0+(V32),"待填")</x:f>
        <x:v>0</x:v>
      </x:c>
    </x:row>
    <x:row r="33" ht="15.5" customHeight="1">
      <x:c r="A33" s="2"/>
      <x:c r="B33" s="2" t="str">
        <x:v>软件</x:v>
      </x:c>
      <x:c r="C33" s="6" t="str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 t="n">
        <x:f>IFERROR(0+(T33),"待填")</x:f>
        <x:v>0</x:v>
      </x:c>
      <x:c r="V33" s="4" t="n">
        <x:f>IFERROR(0+(U33),"待填")</x:f>
        <x:v>0</x:v>
      </x:c>
      <x:c r="W33" s="4" t="n">
        <x:f>IFERROR(0+(V33),"待填")</x:f>
        <x:v>0</x:v>
      </x:c>
    </x:row>
    <x:row r="34" ht="15.5" customHeight="1">
      <x:c r="A34" s="2"/>
      <x:c r="B34" s="2" t="str">
        <x:v>车位使用权</x:v>
      </x:c>
      <x:c r="C34" s="6" t="str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 t="n">
        <x:f>IFERROR(0+(T34),"待填")</x:f>
        <x:v>0</x:v>
      </x:c>
      <x:c r="V34" s="4" t="n">
        <x:f>IFERROR(0+(U34),"待填")</x:f>
        <x:v>0</x:v>
      </x:c>
      <x:c r="W34" s="4" t="n">
        <x:f>IFERROR(0+(V34),"待填")</x:f>
        <x:v>0</x:v>
      </x:c>
    </x:row>
    <x:row r="35" ht="15.5" customHeight="1">
      <x:c r="A35" s="2"/>
      <x:c r="B35" s="38" t="str">
        <x:v>期末减值准备合计</x:v>
      </x:c>
      <x:c r="C35" s="39" t="str"/>
      <x:c r="D35" s="41" t="n">
        <x:f>IFERROR(0+(SUM(D30:D34)),"待填")</x:f>
        <x:v>0</x:v>
      </x:c>
      <x:c r="E35" s="41" t="n">
        <x:f>IFERROR(0+(SUM(E30:E34)),"待填")</x:f>
        <x:v>0</x:v>
      </x:c>
      <x:c r="F35" s="41" t="n">
        <x:f>IFERROR(0+(SUM(F30:F34)),"待填")</x:f>
        <x:v>0</x:v>
      </x:c>
      <x:c r="G35" s="41" t="n">
        <x:f>IFERROR(0+(SUM(G30:G34)),"待填")</x:f>
        <x:v>0</x:v>
      </x:c>
      <x:c r="H35" s="41" t="n">
        <x:f>IFERROR(0+(SUM(H30:H34)),"待填")</x:f>
        <x:v>0</x:v>
      </x:c>
      <x:c r="I35" s="41" t="n">
        <x:f>IFERROR(0+(SUM(I30:I34)),"待填")</x:f>
        <x:v>0</x:v>
      </x:c>
      <x:c r="J35" s="41" t="n">
        <x:f>IFERROR(0+(SUM(J30:J34)),"待填")</x:f>
        <x:v>0</x:v>
      </x:c>
      <x:c r="K35" s="41" t="n">
        <x:f>IFERROR(0+(SUM(K30:K34)),"待填")</x:f>
        <x:v>0</x:v>
      </x:c>
      <x:c r="L35" s="41" t="n">
        <x:f>IFERROR(0+(SUM(L30:L34)),"待填")</x:f>
        <x:v>0</x:v>
      </x:c>
      <x:c r="M35" s="41" t="n">
        <x:f>IFERROR(0+(SUM(M30:M34)),"待填")</x:f>
        <x:v>0</x:v>
      </x:c>
      <x:c r="N35" s="41" t="n">
        <x:f>IFERROR(0+(SUM(N30:N34)),"待填")</x:f>
        <x:v>0</x:v>
      </x:c>
      <x:c r="O35" s="41" t="n">
        <x:f>IFERROR(0+(SUM(O30:O34)),"待填")</x:f>
        <x:v>0</x:v>
      </x:c>
      <x:c r="P35" s="41" t="n">
        <x:f>IFERROR(0+(SUM(P30:P34)),"待填")</x:f>
        <x:v>0</x:v>
      </x:c>
      <x:c r="Q35" s="41" t="n">
        <x:f>IFERROR(0+(SUM(Q30:Q34)),"待填")</x:f>
        <x:v>0</x:v>
      </x:c>
      <x:c r="R35" s="41" t="n">
        <x:f>IFERROR(0+(SUM(R30:R34)),"待填")</x:f>
        <x:v>0</x:v>
      </x:c>
      <x:c r="S35" s="41" t="n">
        <x:f>IFERROR(0+(SUM(S30:S34)),"待填")</x:f>
        <x:v>0</x:v>
      </x:c>
      <x:c r="T35" s="41" t="n">
        <x:f>IFERROR(0+(SUM(T30:T34)),"待填")</x:f>
        <x:v>0</x:v>
      </x:c>
      <x:c r="U35" s="41" t="n">
        <x:f>IFERROR(0+(SUM(U30:U34)),"待填")</x:f>
        <x:v>0</x:v>
      </x:c>
      <x:c r="V35" s="41" t="n">
        <x:f>IFERROR(0+(SUM(V30:V34)),"待填")</x:f>
        <x:v>0</x:v>
      </x:c>
      <x:c r="W35" s="41" t="n">
        <x:f>IFERROR(0+(SUM(W30:W34)),"待填")</x:f>
        <x:v>0</x:v>
      </x:c>
    </x:row>
    <x:row r="36" ht="21" customHeight="1">
      <x:c r="A36" s="2"/>
      <x:c r="B36" s="25" t="str">
        <x:v>5、本期计提摊销</x:v>
      </x:c>
      <x:c r="C36" s="26" t="str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</x:row>
    <x:row r="37" ht="15.5" customHeight="1">
      <x:c r="A37" s="2"/>
      <x:c r="B37" s="2" t="str">
        <x:v>土地使用权</x:v>
      </x:c>
      <x:c r="C37" s="6" t="str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 t="n">
        <x:f>IFERROR(0+(MIN(MAX(0,T7+U81+U74),(T16+U16)/2*U67)),"待填")</x:f>
        <x:v>0</x:v>
      </x:c>
      <x:c r="V37" s="4" t="n">
        <x:f>IFERROR(0+(MIN(MAX(0,U7+V81+V74),(U16+V16)/2*V67)),"待填")</x:f>
        <x:v>0</x:v>
      </x:c>
      <x:c r="W37" s="4" t="n">
        <x:f>IFERROR(0+(MIN(MAX(0,V7+W81+W74),(V16+W16)/2*W67)),"待填")</x:f>
        <x:v>0</x:v>
      </x:c>
    </x:row>
    <x:row r="38" ht="15.5" customHeight="1">
      <x:c r="A38" s="2"/>
      <x:c r="B38" s="2" t="str">
        <x:v>专利权</x:v>
      </x:c>
      <x:c r="C38" s="6" t="str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 t="n">
        <x:f>IFERROR(0+(MIN(MAX(0,T8+U82+U75),(T17+U17)/2*U68)),"待填")</x:f>
        <x:v>0</x:v>
      </x:c>
      <x:c r="V38" s="4" t="n">
        <x:f>IFERROR(0+(MIN(MAX(0,U8+V82+V75),(U17+V17)/2*V68)),"待填")</x:f>
        <x:v>0</x:v>
      </x:c>
      <x:c r="W38" s="4" t="n">
        <x:f>IFERROR(0+(MIN(MAX(0,V8+W82+W75),(V17+W17)/2*W68)),"待填")</x:f>
        <x:v>0</x:v>
      </x:c>
    </x:row>
    <x:row r="39" ht="15.5" customHeight="1">
      <x:c r="A39" s="2"/>
      <x:c r="B39" s="2" t="str">
        <x:v>非专利技术</x:v>
      </x:c>
      <x:c r="C39" s="6" t="str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 t="n">
        <x:f>IFERROR(0+(MIN(MAX(0,T9+U83+U76),(T18+U18)/2*U69)),"待填")</x:f>
        <x:v>0</x:v>
      </x:c>
      <x:c r="V39" s="4" t="n">
        <x:f>IFERROR(0+(MIN(MAX(0,U9+V83+V76),(U18+V18)/2*V69)),"待填")</x:f>
        <x:v>0</x:v>
      </x:c>
      <x:c r="W39" s="4" t="n">
        <x:f>IFERROR(0+(MIN(MAX(0,V9+W83+W76),(V18+W18)/2*W69)),"待填")</x:f>
        <x:v>0</x:v>
      </x:c>
    </x:row>
    <x:row r="40" ht="15.5" customHeight="1">
      <x:c r="A40" s="2"/>
      <x:c r="B40" s="2" t="str">
        <x:v>软件</x:v>
      </x:c>
      <x:c r="C40" s="6" t="str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 t="n">
        <x:f>IFERROR(0+(MIN(MAX(0,T10+U84+U77),(T19+U19)/2*U70)),"待填")</x:f>
        <x:v>0</x:v>
      </x:c>
      <x:c r="V40" s="4" t="n">
        <x:f>IFERROR(0+(MIN(MAX(0,U10+V84+V77),(U19+V19)/2*V70)),"待填")</x:f>
        <x:v>0</x:v>
      </x:c>
      <x:c r="W40" s="4" t="n">
        <x:f>IFERROR(0+(MIN(MAX(0,V10+W84+W77),(V19+W19)/2*W70)),"待填")</x:f>
        <x:v>0</x:v>
      </x:c>
    </x:row>
    <x:row r="41" ht="15.5" customHeight="1">
      <x:c r="A41" s="2"/>
      <x:c r="B41" s="2" t="str">
        <x:v>车位使用权</x:v>
      </x:c>
      <x:c r="C41" s="6" t="str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 t="n">
        <x:f>IFERROR(0+(MIN(MAX(0,T11+U85+U78),(T20+U20)/2*U71)),"待填")</x:f>
        <x:v>0</x:v>
      </x:c>
      <x:c r="V41" s="4" t="n">
        <x:f>IFERROR(0+(MIN(MAX(0,U11+V85+V78),(U20+V20)/2*V71)),"待填")</x:f>
        <x:v>0</x:v>
      </x:c>
      <x:c r="W41" s="4" t="n">
        <x:f>IFERROR(0+(MIN(MAX(0,V11+W85+W78),(V20+W20)/2*W71)),"待填")</x:f>
        <x:v>0</x:v>
      </x:c>
    </x:row>
    <x:row r="42" ht="15.5" customHeight="1">
      <x:c r="A42" s="2"/>
      <x:c r="B42" s="38" t="str">
        <x:v>本期计提摊销合计</x:v>
      </x:c>
      <x:c r="C42" s="39" t="str"/>
      <x:c r="D42" s="41" t="n">
        <x:f>IFERROR(0+(SUM(D37:D41)),"待填")</x:f>
        <x:v>0</x:v>
      </x:c>
      <x:c r="E42" s="41" t="n">
        <x:f>IFERROR(0+(SUM(E37:E41)),"待填")</x:f>
        <x:v>0</x:v>
      </x:c>
      <x:c r="F42" s="41" t="n">
        <x:f>IFERROR(0+(SUM(F37:F41)),"待填")</x:f>
        <x:v>0</x:v>
      </x:c>
      <x:c r="G42" s="41" t="n">
        <x:f>IFERROR(0+(SUM(G37:G41)),"待填")</x:f>
        <x:v>0</x:v>
      </x:c>
      <x:c r="H42" s="41" t="n">
        <x:f>IFERROR(0+(SUM(H37:H41)),"待填")</x:f>
        <x:v>0</x:v>
      </x:c>
      <x:c r="I42" s="41" t="n">
        <x:f>IFERROR(0+(SUM(I37:I41)),"待填")</x:f>
        <x:v>0</x:v>
      </x:c>
      <x:c r="J42" s="41" t="n">
        <x:f>IFERROR(0+(SUM(J37:J41)),"待填")</x:f>
        <x:v>0</x:v>
      </x:c>
      <x:c r="K42" s="41" t="n">
        <x:f>IFERROR(0+(SUM(K37:K41)),"待填")</x:f>
        <x:v>0</x:v>
      </x:c>
      <x:c r="L42" s="41" t="n">
        <x:f>IFERROR(0+(SUM(L37:L41)),"待填")</x:f>
        <x:v>0</x:v>
      </x:c>
      <x:c r="M42" s="41" t="n">
        <x:f>IFERROR(0+(SUM(M37:M41)),"待填")</x:f>
        <x:v>0</x:v>
      </x:c>
      <x:c r="N42" s="41" t="n">
        <x:f>IFERROR(0+(SUM(N37:N41)),"待填")</x:f>
        <x:v>0</x:v>
      </x:c>
      <x:c r="O42" s="41" t="n">
        <x:f>IFERROR(0+(SUM(O37:O41)),"待填")</x:f>
        <x:v>0</x:v>
      </x:c>
      <x:c r="P42" s="41" t="n">
        <x:f>IFERROR(0+(SUM(P37:P41)),"待填")</x:f>
        <x:v>0</x:v>
      </x:c>
      <x:c r="Q42" s="41" t="n">
        <x:f>IFERROR(0+(SUM(Q37:Q41)),"待填")</x:f>
        <x:v>0</x:v>
      </x:c>
      <x:c r="R42" s="41" t="n">
        <x:f>IFERROR(0+(SUM(R37:R41)),"待填")</x:f>
        <x:v>0</x:v>
      </x:c>
      <x:c r="S42" s="41" t="n">
        <x:f>IFERROR(0+(SUM(S37:S41)),"待填")</x:f>
        <x:v>0</x:v>
      </x:c>
      <x:c r="T42" s="41" t="n">
        <x:f>IFERROR(0+(SUM(T37:T41)),"待填")</x:f>
        <x:v>0</x:v>
      </x:c>
      <x:c r="U42" s="41" t="n">
        <x:f>IFERROR(0+(SUM(U37:U41)),"待填")</x:f>
        <x:v>0</x:v>
      </x:c>
      <x:c r="V42" s="41" t="n">
        <x:f>IFERROR(0+(SUM(V37:V41)),"待填")</x:f>
        <x:v>0</x:v>
      </x:c>
      <x:c r="W42" s="41" t="n">
        <x:f>IFERROR(0+(SUM(W37:W41)),"待填")</x:f>
        <x:v>0</x:v>
      </x:c>
    </x:row>
    <x:row r="43" ht="21" customHeight="1">
      <x:c r="A43" s="2"/>
      <x:c r="B43" s="25" t="str">
        <x:v>六、隐含摊销率及资产新旧度</x:v>
      </x:c>
      <x:c r="C43" s="26" t="str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</x:row>
    <x:row r="44" ht="15.5" customHeight="1">
      <x:c r="A44" s="2"/>
      <x:c r="B44" s="2" t="str">
        <x:v>土地使用权</x:v>
      </x:c>
      <x:c r="C44" s="46" t="str"/>
      <x:c r="D44" s="85"/>
      <x:c r="E44" s="85" t="n">
        <x:f>IFERROR(0+(IF((0+E16)=0,0,E37/((0+E16)/2))),"待填")</x:f>
        <x:v>0</x:v>
      </x:c>
      <x:c r="F44" s="85" t="n">
        <x:f>IFERROR(0+(IF((0+F16)=0,0,F37/((0+F16)/2))),"待填")</x:f>
        <x:v>0</x:v>
      </x:c>
      <x:c r="G44" s="85" t="n">
        <x:f>IFERROR(0+(IF((0+G16)=0,0,G37/((0+G16)/2))),"待填")</x:f>
        <x:v>0</x:v>
      </x:c>
      <x:c r="H44" s="85" t="n">
        <x:f>IFERROR(0+(IF((0+H16)=0,0,H37/((0+H16)/2))),"待填")</x:f>
        <x:v>0</x:v>
      </x:c>
      <x:c r="I44" s="85" t="n">
        <x:f>IFERROR(0+(IF((0+I16)=0,0,I37/((0+I16)/2))),"待填")</x:f>
        <x:v>0</x:v>
      </x:c>
      <x:c r="J44" s="85" t="n">
        <x:f>IFERROR(0+(IF((0+J16)=0,0,J37/((0+J16)/2))),"待填")</x:f>
        <x:v>0</x:v>
      </x:c>
      <x:c r="K44" s="85" t="n">
        <x:f>IFERROR(0+(IF((0+K16)=0,0,K37/((0+K16)/2))),"待填")</x:f>
        <x:v>0</x:v>
      </x:c>
      <x:c r="L44" s="85" t="n">
        <x:f>IFERROR(0+(IF((0+L16)=0,0,L37/((0+L16)/2))),"待填")</x:f>
        <x:v>0</x:v>
      </x:c>
      <x:c r="M44" s="85" t="n">
        <x:f>IFERROR(0+(IF((0+M16)=0,0,M37/((0+M16)/2))),"待填")</x:f>
        <x:v>0</x:v>
      </x:c>
      <x:c r="N44" s="85" t="n">
        <x:f>IFERROR(0+(IF((0+N16)=0,0,N37/((0+N16)/2))),"待填")</x:f>
        <x:v>0</x:v>
      </x:c>
      <x:c r="O44" s="85" t="n">
        <x:f>IFERROR(0+(IF((0+O16)=0,0,O37/((0+O16)/2))),"待填")</x:f>
        <x:v>0</x:v>
      </x:c>
      <x:c r="P44" s="85" t="n">
        <x:f>IFERROR(0+(IF((0+P16)=0,0,P37/((0+P16)/2))),"待填")</x:f>
        <x:v>0</x:v>
      </x:c>
      <x:c r="Q44" s="85" t="n">
        <x:f>IFERROR(0+(IF((0+Q16)=0,0,Q37/((0+Q16)/2))),"待填")</x:f>
        <x:v>0</x:v>
      </x:c>
      <x:c r="R44" s="85" t="n">
        <x:f>IFERROR(0+(IF((0+R16)=0,0,R37/((0+R16)/2))),"待填")</x:f>
        <x:v>0</x:v>
      </x:c>
      <x:c r="S44" s="85" t="n">
        <x:f>IFERROR(0+(IF((0+S16)=0,0,S37/((0+S16)/2))),"待填")</x:f>
        <x:v>0</x:v>
      </x:c>
      <x:c r="T44" s="85" t="n">
        <x:f>IFERROR(0+(IF((0+T16)=0,0,T37/((0+T16)/2))),"待填")</x:f>
        <x:v>0</x:v>
      </x:c>
      <x:c r="U44" s="85" t="n">
        <x:f>IFERROR(0+(U67),"待填")</x:f>
        <x:v>0</x:v>
      </x:c>
      <x:c r="V44" s="85" t="n">
        <x:f>IFERROR(0+(V67),"待填")</x:f>
        <x:v>0</x:v>
      </x:c>
      <x:c r="W44" s="85" t="n">
        <x:f>IFERROR(0+(W67),"待填")</x:f>
        <x:v>0</x:v>
      </x:c>
    </x:row>
    <x:row r="45" ht="15.5" customHeight="1">
      <x:c r="A45" s="2"/>
      <x:c r="B45" s="2" t="str">
        <x:v>专利权</x:v>
      </x:c>
      <x:c r="C45" s="46" t="str"/>
      <x:c r="D45" s="85"/>
      <x:c r="E45" s="85" t="n">
        <x:f>IFERROR(0+(IF((0+E17)=0,0,E38/((0+E17)/2))),"待填")</x:f>
        <x:v>0</x:v>
      </x:c>
      <x:c r="F45" s="85" t="n">
        <x:f>IFERROR(0+(IF((0+F17)=0,0,F38/((0+F17)/2))),"待填")</x:f>
        <x:v>0</x:v>
      </x:c>
      <x:c r="G45" s="85" t="n">
        <x:f>IFERROR(0+(IF((0+G17)=0,0,G38/((0+G17)/2))),"待填")</x:f>
        <x:v>0</x:v>
      </x:c>
      <x:c r="H45" s="85" t="n">
        <x:f>IFERROR(0+(IF((0+H17)=0,0,H38/((0+H17)/2))),"待填")</x:f>
        <x:v>0</x:v>
      </x:c>
      <x:c r="I45" s="85" t="n">
        <x:f>IFERROR(0+(IF((0.0+I17)=0,0,I38/((0.0+I17)/2))),"待填")</x:f>
        <x:v>0</x:v>
      </x:c>
      <x:c r="J45" s="85" t="n">
        <x:f>IFERROR(0+(IF((0.0+J17)=0,0,J38/((0.0+J17)/2))),"待填")</x:f>
        <x:v>0</x:v>
      </x:c>
      <x:c r="K45" s="85" t="n">
        <x:f>IFERROR(0+(IF((0.0+K17)=0,0,K38/((0.0+K17)/2))),"待填")</x:f>
        <x:v>0</x:v>
      </x:c>
      <x:c r="L45" s="85" t="n">
        <x:f>IFERROR(0+(IF((0.0+L17)=0,0,L38/((0.0+L17)/2))),"待填")</x:f>
        <x:v>0</x:v>
      </x:c>
      <x:c r="M45" s="85" t="n">
        <x:f>IFERROR(0+(IF((0.0+M17)=0,0,M38/((0.0+M17)/2))),"待填")</x:f>
        <x:v>0</x:v>
      </x:c>
      <x:c r="N45" s="85" t="n">
        <x:f>IFERROR(0+(IF((0.0+N17)=0,0,N38/((0.0+N17)/2))),"待填")</x:f>
        <x:v>0</x:v>
      </x:c>
      <x:c r="O45" s="85" t="n">
        <x:f>IFERROR(0+(IF((0.0+O17)=0,0,O38/((0.0+O17)/2))),"待填")</x:f>
        <x:v>0</x:v>
      </x:c>
      <x:c r="P45" s="85" t="n">
        <x:f>IFERROR(0+(IF((0+P17)=0,0,P38/((0+P17)/2))),"待填")</x:f>
        <x:v>0</x:v>
      </x:c>
      <x:c r="Q45" s="85" t="n">
        <x:f>IFERROR(0+(IF((0+Q17)=0,0,Q38/((0+Q17)/2))),"待填")</x:f>
        <x:v>0</x:v>
      </x:c>
      <x:c r="R45" s="85" t="n">
        <x:f>IFERROR(0+(IF((0+R17)=0,0,R38/((0+R17)/2))),"待填")</x:f>
        <x:v>0</x:v>
      </x:c>
      <x:c r="S45" s="85" t="n">
        <x:f>IFERROR(0+(IF((0+S17)=0,0,S38/((0+S17)/2))),"待填")</x:f>
        <x:v>0</x:v>
      </x:c>
      <x:c r="T45" s="85" t="n">
        <x:f>IFERROR(0+(IF((0+T17)=0,0,T38/((0+T17)/2))),"待填")</x:f>
        <x:v>0</x:v>
      </x:c>
      <x:c r="U45" s="85" t="n">
        <x:f>IFERROR(0+(U68),"待填")</x:f>
        <x:v>0</x:v>
      </x:c>
      <x:c r="V45" s="85" t="n">
        <x:f>IFERROR(0+(V68),"待填")</x:f>
        <x:v>0</x:v>
      </x:c>
      <x:c r="W45" s="85" t="n">
        <x:f>IFERROR(0+(W68),"待填")</x:f>
        <x:v>0</x:v>
      </x:c>
    </x:row>
    <x:row r="46" ht="15.5" customHeight="1">
      <x:c r="A46" s="2"/>
      <x:c r="B46" s="2" t="str">
        <x:v>非专利技术</x:v>
      </x:c>
      <x:c r="C46" s="46" t="str"/>
      <x:c r="D46" s="85"/>
      <x:c r="E46" s="85" t="n">
        <x:f>IFERROR(0+(IF((0+E18)=0,0,E39/((0+E18)/2))),"待填")</x:f>
        <x:v>0</x:v>
      </x:c>
      <x:c r="F46" s="85" t="n">
        <x:f>IFERROR(0+(IF((0+F18)=0,0,F39/((0+F18)/2))),"待填")</x:f>
        <x:v>0</x:v>
      </x:c>
      <x:c r="G46" s="85" t="n">
        <x:f>IFERROR(0+(IF((0+G18)=0,0,G39/((0+G18)/2))),"待填")</x:f>
        <x:v>0</x:v>
      </x:c>
      <x:c r="H46" s="85" t="n">
        <x:f>IFERROR(0+(IF((0+H18)=0,0,H39/((0+H18)/2))),"待填")</x:f>
        <x:v>0</x:v>
      </x:c>
      <x:c r="I46" s="85" t="n">
        <x:f>IFERROR(0+(IF((0.0+I18)=0,0,I39/((0.0+I18)/2))),"待填")</x:f>
        <x:v>0</x:v>
      </x:c>
      <x:c r="J46" s="85" t="n">
        <x:f>IFERROR(0+(IF((0.0+J18)=0,0,J39/((0.0+J18)/2))),"待填")</x:f>
        <x:v>0</x:v>
      </x:c>
      <x:c r="K46" s="85" t="n">
        <x:f>IFERROR(0+(IF((0.0+K18)=0,0,K39/((0.0+K18)/2))),"待填")</x:f>
        <x:v>0</x:v>
      </x:c>
      <x:c r="L46" s="85" t="n">
        <x:f>IFERROR(0+(IF((0.0+L18)=0,0,L39/((0.0+L18)/2))),"待填")</x:f>
        <x:v>0</x:v>
      </x:c>
      <x:c r="M46" s="85" t="n">
        <x:f>IFERROR(0+(IF((0.0+M18)=0,0,M39/((0.0+M18)/2))),"待填")</x:f>
        <x:v>0</x:v>
      </x:c>
      <x:c r="N46" s="85" t="n">
        <x:f>IFERROR(0+(IF((0.0+N18)=0,0,N39/((0.0+N18)/2))),"待填")</x:f>
        <x:v>0</x:v>
      </x:c>
      <x:c r="O46" s="85" t="n">
        <x:f>IFERROR(0+(IF((0.0+O18)=0,0,O39/((0.0+O18)/2))),"待填")</x:f>
        <x:v>0</x:v>
      </x:c>
      <x:c r="P46" s="85" t="n">
        <x:f>IFERROR(0+(IF((0.0+P18)=0,0,P39/((0.0+P18)/2))),"待填")</x:f>
        <x:v>0</x:v>
      </x:c>
      <x:c r="Q46" s="85" t="n">
        <x:f>IFERROR(0+(IF((0.0+Q18)=0,0,Q39/((0.0+Q18)/2))),"待填")</x:f>
        <x:v>0</x:v>
      </x:c>
      <x:c r="R46" s="85" t="n">
        <x:f>IFERROR(0+(IF((0.0+R18)=0,0,R39/((0.0+R18)/2))),"待填")</x:f>
        <x:v>0</x:v>
      </x:c>
      <x:c r="S46" s="85" t="n">
        <x:f>IFERROR(0+(IF((0.0+S18)=0,0,S39/((0.0+S18)/2))),"待填")</x:f>
        <x:v>0</x:v>
      </x:c>
      <x:c r="T46" s="85" t="n">
        <x:f>IFERROR(0+(IF((0+T18)=0,0,T39/((0+T18)/2))),"待填")</x:f>
        <x:v>0</x:v>
      </x:c>
      <x:c r="U46" s="85" t="n">
        <x:f>IFERROR(0+(U69),"待填")</x:f>
        <x:v>0</x:v>
      </x:c>
      <x:c r="V46" s="85" t="n">
        <x:f>IFERROR(0+(V69),"待填")</x:f>
        <x:v>0</x:v>
      </x:c>
      <x:c r="W46" s="85" t="n">
        <x:f>IFERROR(0+(W69),"待填")</x:f>
        <x:v>0</x:v>
      </x:c>
    </x:row>
    <x:row r="47" ht="15.5" customHeight="1">
      <x:c r="A47" s="2"/>
      <x:c r="B47" s="2" t="str">
        <x:v>软件</x:v>
      </x:c>
      <x:c r="C47" s="46" t="str"/>
      <x:c r="D47" s="85"/>
      <x:c r="E47" s="85" t="n">
        <x:f>IFERROR(0+(IF((0+E19)=0,0,E40/((0+E19)/2))),"待填")</x:f>
        <x:v>0</x:v>
      </x:c>
      <x:c r="F47" s="85" t="n">
        <x:f>IFERROR(0+(IF((0+F19)=0,0,F40/((0+F19)/2))),"待填")</x:f>
        <x:v>0</x:v>
      </x:c>
      <x:c r="G47" s="85" t="n">
        <x:f>IFERROR(0+(IF((0+G19)=0,0,G40/((0+G19)/2))),"待填")</x:f>
        <x:v>0</x:v>
      </x:c>
      <x:c r="H47" s="85" t="n">
        <x:f>IFERROR(0+(IF((0+H19)=0,0,H40/((0+H19)/2))),"待填")</x:f>
        <x:v>0</x:v>
      </x:c>
      <x:c r="I47" s="85" t="n">
        <x:f>IFERROR(0+(IF((0+I19)=0,0,I40/((0+I19)/2))),"待填")</x:f>
        <x:v>0</x:v>
      </x:c>
      <x:c r="J47" s="85" t="n">
        <x:f>IFERROR(0+(IF((0+J19)=0,0,J40/((0+J19)/2))),"待填")</x:f>
        <x:v>0</x:v>
      </x:c>
      <x:c r="K47" s="85" t="n">
        <x:f>IFERROR(0+(IF((0+K19)=0,0,K40/((0+K19)/2))),"待填")</x:f>
        <x:v>0</x:v>
      </x:c>
      <x:c r="L47" s="85" t="n">
        <x:f>IFERROR(0+(IF((0+L19)=0,0,L40/((0+L19)/2))),"待填")</x:f>
        <x:v>0</x:v>
      </x:c>
      <x:c r="M47" s="85" t="n">
        <x:f>IFERROR(0+(IF((0+M19)=0,0,M40/((0+M19)/2))),"待填")</x:f>
        <x:v>0</x:v>
      </x:c>
      <x:c r="N47" s="85" t="n">
        <x:f>IFERROR(0+(IF((0+N19)=0,0,N40/((0+N19)/2))),"待填")</x:f>
        <x:v>0</x:v>
      </x:c>
      <x:c r="O47" s="85" t="n">
        <x:f>IFERROR(0+(IF((0+O19)=0,0,O40/((0+O19)/2))),"待填")</x:f>
        <x:v>0</x:v>
      </x:c>
      <x:c r="P47" s="85" t="n">
        <x:f>IFERROR(0+(IF((0+P19)=0,0,P40/((0+P19)/2))),"待填")</x:f>
        <x:v>0</x:v>
      </x:c>
      <x:c r="Q47" s="85" t="n">
        <x:f>IFERROR(0+(IF((0+Q19)=0,0,Q40/((0+Q19)/2))),"待填")</x:f>
        <x:v>0</x:v>
      </x:c>
      <x:c r="R47" s="85" t="n">
        <x:f>IFERROR(0+(IF((0+R19)=0,0,R40/((0+R19)/2))),"待填")</x:f>
        <x:v>0</x:v>
      </x:c>
      <x:c r="S47" s="85" t="n">
        <x:f>IFERROR(0+(IF((0+S19)=0,0,S40/((0+S19)/2))),"待填")</x:f>
        <x:v>0</x:v>
      </x:c>
      <x:c r="T47" s="85" t="n">
        <x:f>IFERROR(0+(IF((0+T19)=0,0,T40/((0+T19)/2))),"待填")</x:f>
        <x:v>0</x:v>
      </x:c>
      <x:c r="U47" s="85" t="n">
        <x:f>IFERROR(0+(U70),"待填")</x:f>
        <x:v>0</x:v>
      </x:c>
      <x:c r="V47" s="85" t="n">
        <x:f>IFERROR(0+(V70),"待填")</x:f>
        <x:v>0</x:v>
      </x:c>
      <x:c r="W47" s="85" t="n">
        <x:f>IFERROR(0+(W70),"待填")</x:f>
        <x:v>0</x:v>
      </x:c>
    </x:row>
    <x:row r="48" ht="15.5" customHeight="1">
      <x:c r="A48" s="2"/>
      <x:c r="B48" s="2" t="str">
        <x:v>车位使用权</x:v>
      </x:c>
      <x:c r="C48" s="46" t="str"/>
      <x:c r="D48" s="85"/>
      <x:c r="E48" s="85" t="n">
        <x:f>IFERROR(0+(IF((0+E20)=0,0,E41/((0+E20)/2))),"待填")</x:f>
        <x:v>0</x:v>
      </x:c>
      <x:c r="F48" s="85" t="n">
        <x:f>IFERROR(0+(IF((0+F20)=0,0,F41/((0+F20)/2))),"待填")</x:f>
        <x:v>0</x:v>
      </x:c>
      <x:c r="G48" s="85" t="n">
        <x:f>IFERROR(0+(IF((0+G20)=0,0,G41/((0+G20)/2))),"待填")</x:f>
        <x:v>0</x:v>
      </x:c>
      <x:c r="H48" s="85" t="n">
        <x:f>IFERROR(0+(IF((0+H20)=0,0,H41/((0+H20)/2))),"待填")</x:f>
        <x:v>0</x:v>
      </x:c>
      <x:c r="I48" s="85" t="n">
        <x:f>IFERROR(0+(IF((0+I20)=0,0,I41/((0+I20)/2))),"待填")</x:f>
        <x:v>0</x:v>
      </x:c>
      <x:c r="J48" s="85" t="n">
        <x:f>IFERROR(0+(IF((0+J20)=0,0,J41/((0+J20)/2))),"待填")</x:f>
        <x:v>0</x:v>
      </x:c>
      <x:c r="K48" s="85" t="n">
        <x:f>IFERROR(0+(IF((0+K20)=0,0,K41/((0+K20)/2))),"待填")</x:f>
        <x:v>0</x:v>
      </x:c>
      <x:c r="L48" s="85" t="n">
        <x:f>IFERROR(0+(IF((0+L20)=0,0,L41/((0+L20)/2))),"待填")</x:f>
        <x:v>0</x:v>
      </x:c>
      <x:c r="M48" s="85" t="n">
        <x:f>IFERROR(0+(IF((0+M20)=0,0,M41/((0+M20)/2))),"待填")</x:f>
        <x:v>0</x:v>
      </x:c>
      <x:c r="N48" s="85" t="n">
        <x:f>IFERROR(0+(IF((0+N20)=0,0,N41/((0+N20)/2))),"待填")</x:f>
        <x:v>0</x:v>
      </x:c>
      <x:c r="O48" s="85" t="n">
        <x:f>IFERROR(0+(IF((0+O20)=0,0,O41/((0+O20)/2))),"待填")</x:f>
        <x:v>0</x:v>
      </x:c>
      <x:c r="P48" s="85" t="n">
        <x:f>IFERROR(0+(IF((0+P20)=0,0,P41/((0+P20)/2))),"待填")</x:f>
        <x:v>0</x:v>
      </x:c>
      <x:c r="Q48" s="85" t="n">
        <x:f>IFERROR(0+(IF((0+Q20)=0,0,Q41/((0+Q20)/2))),"待填")</x:f>
        <x:v>0</x:v>
      </x:c>
      <x:c r="R48" s="85" t="n">
        <x:f>IFERROR(0+(IF((0+R20)=0,0,R41/((0+R20)/2))),"待填")</x:f>
        <x:v>0</x:v>
      </x:c>
      <x:c r="S48" s="85" t="n">
        <x:f>IFERROR(0+(IF((0.0+S20)=0,0,S41/((0.0+S20)/2))),"待填")</x:f>
        <x:v>0</x:v>
      </x:c>
      <x:c r="T48" s="85" t="n">
        <x:f>IFERROR(0+(IF((0+T20)=0,0,T41/((0+T20)/2))),"待填")</x:f>
        <x:v>0</x:v>
      </x:c>
      <x:c r="U48" s="85" t="n">
        <x:f>IFERROR(0+(U71),"待填")</x:f>
        <x:v>0</x:v>
      </x:c>
      <x:c r="V48" s="85" t="n">
        <x:f>IFERROR(0+(V71),"待填")</x:f>
        <x:v>0</x:v>
      </x:c>
      <x:c r="W48" s="85" t="n">
        <x:f>IFERROR(0+(W71),"待填")</x:f>
        <x:v>0</x:v>
      </x:c>
    </x:row>
    <x:row r="49" ht="15.5" customHeight="1">
      <x:c r="A49" s="2"/>
      <x:c r="B49" s="2" t="str">
        <x:v>累计折摊 / 期末原价</x:v>
      </x:c>
      <x:c r="C49" s="46" t="str"/>
      <x:c r="D49" s="85" t="n">
        <x:f>IFERROR(0+(IF(D21=0,0,D28/D21)),"待填")</x:f>
        <x:v>0</x:v>
      </x:c>
      <x:c r="E49" s="85" t="n">
        <x:f>IFERROR(0+(IF(E21=0,0,E28/E21)),"待填")</x:f>
        <x:v>0</x:v>
      </x:c>
      <x:c r="F49" s="85" t="n">
        <x:f>IFERROR(0+(IF(F21=0,0,F28/F21)),"待填")</x:f>
        <x:v>0</x:v>
      </x:c>
      <x:c r="G49" s="85" t="n">
        <x:f>IFERROR(0+(IF(G21=0,0,G28/G21)),"待填")</x:f>
        <x:v>0</x:v>
      </x:c>
      <x:c r="H49" s="85" t="n">
        <x:f>IFERROR(0+(IF(H21=0,0,H28/H21)),"待填")</x:f>
        <x:v>0</x:v>
      </x:c>
      <x:c r="I49" s="85" t="n">
        <x:f>IFERROR(0+(IF(I21=0,0,I28/I21)),"待填")</x:f>
        <x:v>0</x:v>
      </x:c>
      <x:c r="J49" s="85" t="n">
        <x:f>IFERROR(0+(IF(J21=0,0,J28/J21)),"待填")</x:f>
        <x:v>0</x:v>
      </x:c>
      <x:c r="K49" s="85" t="n">
        <x:f>IFERROR(0+(IF(K21=0,0,K28/K21)),"待填")</x:f>
        <x:v>0</x:v>
      </x:c>
      <x:c r="L49" s="85" t="n">
        <x:f>IFERROR(0+(IF(L21=0,0,L28/L21)),"待填")</x:f>
        <x:v>0</x:v>
      </x:c>
      <x:c r="M49" s="85" t="n">
        <x:f>IFERROR(0+(IF(M21=0,0,M28/M21)),"待填")</x:f>
        <x:v>0</x:v>
      </x:c>
      <x:c r="N49" s="85" t="n">
        <x:f>IFERROR(0+(IF(N21=0,0,N28/N21)),"待填")</x:f>
        <x:v>0</x:v>
      </x:c>
      <x:c r="O49" s="85" t="n">
        <x:f>IFERROR(0+(IF(O21=0,0,O28/O21)),"待填")</x:f>
        <x:v>0</x:v>
      </x:c>
      <x:c r="P49" s="85" t="n">
        <x:f>IFERROR(0+(IF(P21=0,0,P28/P21)),"待填")</x:f>
        <x:v>0</x:v>
      </x:c>
      <x:c r="Q49" s="85" t="n">
        <x:f>IFERROR(0+(IF(Q21=0,0,Q28/Q21)),"待填")</x:f>
        <x:v>0</x:v>
      </x:c>
      <x:c r="R49" s="85" t="n">
        <x:f>IFERROR(0+(IF(R21=0,0,R28/R21)),"待填")</x:f>
        <x:v>0</x:v>
      </x:c>
      <x:c r="S49" s="85" t="n">
        <x:f>IFERROR(0+(IF(S21=0,0,S28/S21)),"待填")</x:f>
        <x:v>0</x:v>
      </x:c>
      <x:c r="T49" s="85" t="n">
        <x:f>IFERROR(0+(IF(T21=0,0,T28/T21)),"待填")</x:f>
        <x:v>0</x:v>
      </x:c>
      <x:c r="U49" s="85" t="n">
        <x:f>IFERROR(0+(IF(U21=0,0,U28/U21)),"待填")</x:f>
        <x:v>0</x:v>
      </x:c>
      <x:c r="V49" s="85" t="n">
        <x:f>IFERROR(0+(IF(V21=0,0,V28/V21)),"待填")</x:f>
        <x:v>0</x:v>
      </x:c>
      <x:c r="W49" s="85" t="n">
        <x:f>IFERROR(0+(IF(W21=0,0,W28/W21)),"待填")</x:f>
        <x:v>0</x:v>
      </x:c>
    </x:row>
    <x:row r="50" ht="15.5" customHeight="1">
      <x:c r="A50" s="2"/>
      <x:c r="B50" s="2" t="str"/>
      <x:c r="C50" s="6" t="str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 ht="21" customHeight="1">
      <x:c r="A51" s="2"/>
      <x:c r="B51" s="25" t="str">
        <x:v>八、预测假设与购置、处置</x:v>
      </x:c>
      <x:c r="C51" s="26" t="str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</x:row>
    <x:row r="52" ht="21" customHeight="1">
      <x:c r="A52" s="2"/>
      <x:c r="B52" s="25" t="str">
        <x:v>8.1 购置增长率</x:v>
      </x:c>
      <x:c r="C52" s="26" t="str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</x:row>
    <x:row r="53" ht="15.5" customHeight="1">
      <x:c r="A53" s="2"/>
      <x:c r="B53" s="77" t="str">
        <x:v>  土地使用权</x:v>
      </x:c>
      <x:c r="C53" s="86" t="str">
        <x:v>默认 0%，购置维持 2025 年</x:v>
      </x:c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</x:row>
    <x:row r="54" ht="15.5" customHeight="1">
      <x:c r="A54" s="2"/>
      <x:c r="B54" s="77" t="str">
        <x:v>  专利权</x:v>
      </x:c>
      <x:c r="C54" s="86" t="str">
        <x:v>默认 0%，购置维持 2025 年</x:v>
      </x:c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</x:row>
    <x:row r="55" ht="15.5" customHeight="1">
      <x:c r="A55" s="2"/>
      <x:c r="B55" s="77" t="str">
        <x:v>  非专利技术</x:v>
      </x:c>
      <x:c r="C55" s="86" t="str">
        <x:v>默认 0%，购置维持 2025 年</x:v>
      </x:c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</x:row>
    <x:row r="56" ht="15.5" customHeight="1">
      <x:c r="A56" s="2"/>
      <x:c r="B56" s="77" t="str">
        <x:v>  软件</x:v>
      </x:c>
      <x:c r="C56" s="86" t="str">
        <x:v>默认 0%，购置维持 2025 年</x:v>
      </x:c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</x:row>
    <x:row r="57" ht="15.5" customHeight="1">
      <x:c r="A57" s="2"/>
      <x:c r="B57" s="77" t="str">
        <x:v>  车位使用权</x:v>
      </x:c>
      <x:c r="C57" s="86" t="str">
        <x:v>默认 0%，购置维持 2025 年</x:v>
      </x:c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</x:row>
    <x:row r="58" ht="15.5" customHeight="1">
      <x:c r="A58" s="2"/>
      <x:c r="B58" s="2" t="str"/>
      <x:c r="C58" s="6" t="str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 ht="21" customHeight="1">
      <x:c r="A59" s="2"/>
      <x:c r="B59" s="25" t="str">
        <x:v>8.2 处置率（处置原价 / 期初原价）</x:v>
      </x:c>
      <x:c r="C59" s="26" t="str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</x:row>
    <x:row r="60" ht="15.5" customHeight="1">
      <x:c r="A60" s="2"/>
      <x:c r="B60" s="77" t="str">
        <x:v>  土地使用权</x:v>
      </x:c>
      <x:c r="C60" s="86" t="str">
        <x:v>近三年处置 / 期初原价平均</x:v>
      </x:c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</x:row>
    <x:row r="61" ht="15.5" customHeight="1">
      <x:c r="A61" s="2"/>
      <x:c r="B61" s="77" t="str">
        <x:v>  专利权</x:v>
      </x:c>
      <x:c r="C61" s="86" t="str">
        <x:v>近三年处置 / 期初原价平均</x:v>
      </x:c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</x:row>
    <x:row r="62" ht="15.5" customHeight="1">
      <x:c r="A62" s="2"/>
      <x:c r="B62" s="77" t="str">
        <x:v>  非专利技术</x:v>
      </x:c>
      <x:c r="C62" s="86" t="str">
        <x:v>近三年处置 / 期初原价平均</x:v>
      </x:c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</x:row>
    <x:row r="63" ht="15.5" customHeight="1">
      <x:c r="A63" s="2"/>
      <x:c r="B63" s="77" t="str">
        <x:v>  软件</x:v>
      </x:c>
      <x:c r="C63" s="86" t="str">
        <x:v>近三年处置 / 期初原价平均</x:v>
      </x:c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</x:row>
    <x:row r="64" ht="15.5" customHeight="1">
      <x:c r="A64" s="2"/>
      <x:c r="B64" s="77" t="str">
        <x:v>  车位使用权</x:v>
      </x:c>
      <x:c r="C64" s="86" t="str">
        <x:v>近三年处置 / 期初原价平均</x:v>
      </x:c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</x:row>
    <x:row r="65" ht="15.5" customHeight="1">
      <x:c r="A65" s="2"/>
      <x:c r="B65" s="2" t="str"/>
      <x:c r="C65" s="6" t="str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</x:row>
    <x:row r="66" ht="21" customHeight="1">
      <x:c r="A66" s="2"/>
      <x:c r="B66" s="25" t="str">
        <x:v>8.3 摊销率</x:v>
      </x:c>
      <x:c r="C66" s="26" t="str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</x:row>
    <x:row r="67" ht="15.5" customHeight="1">
      <x:c r="A67" s="2"/>
      <x:c r="B67" s="77" t="str">
        <x:v>  土地使用权</x:v>
      </x:c>
      <x:c r="C67" s="86" t="str">
        <x:v>近两年计提 / 平均原价；可调整</x:v>
      </x:c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</x:row>
    <x:row r="68" ht="15.5" customHeight="1">
      <x:c r="A68" s="2"/>
      <x:c r="B68" s="77" t="str">
        <x:v>  专利权</x:v>
      </x:c>
      <x:c r="C68" s="86" t="str">
        <x:v>近两年计提 / 平均原价；可调整</x:v>
      </x:c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</x:row>
    <x:row r="69" ht="15.5" customHeight="1">
      <x:c r="A69" s="2"/>
      <x:c r="B69" s="77" t="str">
        <x:v>  非专利技术</x:v>
      </x:c>
      <x:c r="C69" s="86" t="str">
        <x:v>近两年计提 / 平均原价；可调整</x:v>
      </x:c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</x:row>
    <x:row r="70" ht="15.5" customHeight="1">
      <x:c r="A70" s="2"/>
      <x:c r="B70" s="77" t="str">
        <x:v>  软件</x:v>
      </x:c>
      <x:c r="C70" s="86" t="str">
        <x:v>近两年计提 / 平均原价；可调整</x:v>
      </x:c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</x:row>
    <x:row r="71" ht="15.5" customHeight="1">
      <x:c r="A71" s="2"/>
      <x:c r="B71" s="77" t="str">
        <x:v>  车位使用权</x:v>
      </x:c>
      <x:c r="C71" s="86" t="str">
        <x:v>近两年计提 / 平均原价；可调整</x:v>
      </x:c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</x:row>
    <x:row r="72" ht="15.5" customHeight="1">
      <x:c r="A72" s="2"/>
      <x:c r="B72" s="2" t="str"/>
      <x:c r="C72" s="6" t="str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</x:row>
    <x:row r="73" ht="21" customHeight="1">
      <x:c r="A73" s="2"/>
      <x:c r="B73" s="25" t="str">
        <x:v>8.4 内部研发转入（联动资本化研发表）</x:v>
      </x:c>
      <x:c r="C73" s="26" t="str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</x:row>
    <x:row r="74" ht="15.5" customHeight="1">
      <x:c r="A74" s="2"/>
      <x:c r="B74" s="2" t="str">
        <x:v>  土地使用权</x:v>
      </x:c>
      <x:c r="C74" s="6" t="str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 t="n">
        <x:f>IFERROR(0+(0),"待填")</x:f>
        <x:v>0</x:v>
      </x:c>
      <x:c r="V74" s="4" t="n">
        <x:f>IFERROR(0+(0),"待填")</x:f>
        <x:v>0</x:v>
      </x:c>
      <x:c r="W74" s="4" t="n">
        <x:f>IFERROR(0+(0),"待填")</x:f>
        <x:v>0</x:v>
      </x:c>
    </x:row>
    <x:row r="75" ht="15.5" customHeight="1">
      <x:c r="A75" s="2"/>
      <x:c r="B75" s="2" t="str">
        <x:v>  专利权</x:v>
      </x:c>
      <x:c r="C75" s="6" t="str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n">
        <x:f>IFERROR(0+(0),"待填")</x:f>
        <x:v>0</x:v>
      </x:c>
      <x:c r="V75" s="4" t="n">
        <x:f>IFERROR(0+(0),"待填")</x:f>
        <x:v>0</x:v>
      </x:c>
      <x:c r="W75" s="4" t="n">
        <x:f>IFERROR(0+(0),"待填")</x:f>
        <x:v>0</x:v>
      </x:c>
    </x:row>
    <x:row r="76" ht="15.5" customHeight="1">
      <x:c r="A76" s="2"/>
      <x:c r="B76" s="2" t="str">
        <x:v>  非专利技术</x:v>
      </x:c>
      <x:c r="C76" s="6" t="str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 t="n">
        <x:f>IFERROR(0+('资本化研发'!U24),"待填")</x:f>
        <x:v>0</x:v>
      </x:c>
      <x:c r="V76" s="4" t="n">
        <x:f>IFERROR(0+('资本化研发'!V24),"待填")</x:f>
        <x:v>0</x:v>
      </x:c>
      <x:c r="W76" s="4" t="n">
        <x:f>IFERROR(0+('资本化研发'!W24),"待填")</x:f>
        <x:v>0</x:v>
      </x:c>
    </x:row>
    <x:row r="77" ht="15.5" customHeight="1">
      <x:c r="A77" s="2"/>
      <x:c r="B77" s="2" t="str">
        <x:v>  软件</x:v>
      </x:c>
      <x:c r="C77" s="6" t="str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 t="n">
        <x:f>IFERROR(0+(0),"待填")</x:f>
        <x:v>0</x:v>
      </x:c>
      <x:c r="V77" s="4" t="n">
        <x:f>IFERROR(0+(0),"待填")</x:f>
        <x:v>0</x:v>
      </x:c>
      <x:c r="W77" s="4" t="n">
        <x:f>IFERROR(0+(0),"待填")</x:f>
        <x:v>0</x:v>
      </x:c>
    </x:row>
    <x:row r="78" ht="15.5" customHeight="1">
      <x:c r="A78" s="2"/>
      <x:c r="B78" s="2" t="str">
        <x:v>  车位使用权</x:v>
      </x:c>
      <x:c r="C78" s="6" t="str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 t="n">
        <x:f>IFERROR(0+(0),"待填")</x:f>
        <x:v>0</x:v>
      </x:c>
      <x:c r="V78" s="4" t="n">
        <x:f>IFERROR(0+(0),"待填")</x:f>
        <x:v>0</x:v>
      </x:c>
      <x:c r="W78" s="4" t="n">
        <x:f>IFERROR(0+(0),"待填")</x:f>
        <x:v>0</x:v>
      </x:c>
    </x:row>
    <x:row r="79" ht="15.5" customHeight="1">
      <x:c r="A79" s="2"/>
      <x:c r="B79" s="2" t="str"/>
      <x:c r="C79" s="6" t="str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</x:row>
    <x:row r="80" ht="21" customHeight="1">
      <x:c r="A80" s="2"/>
      <x:c r="B80" s="25" t="str">
        <x:v>8.5 购置（历史 + 预测）</x:v>
      </x:c>
      <x:c r="C80" s="26" t="str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</x:row>
    <x:row r="81" ht="15.5" customHeight="1">
      <x:c r="A81" s="2"/>
      <x:c r="B81" s="2" t="str">
        <x:v>  土地使用权</x:v>
      </x:c>
      <x:c r="C81" s="6" t="str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 t="n">
        <x:f>IFERROR(0+(T81*(1+U53)),"待填")</x:f>
        <x:v>0</x:v>
      </x:c>
      <x:c r="V81" s="4" t="n">
        <x:f>IFERROR(0+(U81*(1+V53)),"待填")</x:f>
        <x:v>0</x:v>
      </x:c>
      <x:c r="W81" s="4" t="n">
        <x:f>IFERROR(0+(V81*(1+W53)),"待填")</x:f>
        <x:v>0</x:v>
      </x:c>
    </x:row>
    <x:row r="82" ht="15.5" customHeight="1">
      <x:c r="A82" s="2"/>
      <x:c r="B82" s="2" t="str">
        <x:v>  专利权</x:v>
      </x:c>
      <x:c r="C82" s="6" t="str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 t="n">
        <x:f>IFERROR(0+(T82*(1+U54)),"待填")</x:f>
        <x:v>0</x:v>
      </x:c>
      <x:c r="V82" s="4" t="n">
        <x:f>IFERROR(0+(U82*(1+V54)),"待填")</x:f>
        <x:v>0</x:v>
      </x:c>
      <x:c r="W82" s="4" t="n">
        <x:f>IFERROR(0+(V82*(1+W54)),"待填")</x:f>
        <x:v>0</x:v>
      </x:c>
    </x:row>
    <x:row r="83" ht="15.5" customHeight="1">
      <x:c r="A83" s="2"/>
      <x:c r="B83" s="2" t="str">
        <x:v>  非专利技术</x:v>
      </x:c>
      <x:c r="C83" s="6" t="str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 t="n">
        <x:f>IFERROR(0+(T83*(1+U55)),"待填")</x:f>
        <x:v>0</x:v>
      </x:c>
      <x:c r="V83" s="4" t="n">
        <x:f>IFERROR(0+(U83*(1+V55)),"待填")</x:f>
        <x:v>0</x:v>
      </x:c>
      <x:c r="W83" s="4" t="n">
        <x:f>IFERROR(0+(V83*(1+W55)),"待填")</x:f>
        <x:v>0</x:v>
      </x:c>
    </x:row>
    <x:row r="84" ht="15.5" customHeight="1">
      <x:c r="A84" s="2"/>
      <x:c r="B84" s="2" t="str">
        <x:v>  软件</x:v>
      </x:c>
      <x:c r="C84" s="6" t="str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 t="n">
        <x:f>IFERROR(0+(T84*(1+U56)),"待填")</x:f>
        <x:v>0</x:v>
      </x:c>
      <x:c r="V84" s="4" t="n">
        <x:f>IFERROR(0+(U84*(1+V56)),"待填")</x:f>
        <x:v>0</x:v>
      </x:c>
      <x:c r="W84" s="4" t="n">
        <x:f>IFERROR(0+(V84*(1+W56)),"待填")</x:f>
        <x:v>0</x:v>
      </x:c>
    </x:row>
    <x:row r="85" ht="15.5" customHeight="1">
      <x:c r="A85" s="2"/>
      <x:c r="B85" s="2" t="str">
        <x:v>  车位使用权</x:v>
      </x:c>
      <x:c r="C85" s="6" t="str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 t="n">
        <x:f>IFERROR(0+(T85*(1+U57)),"待填")</x:f>
        <x:v>0</x:v>
      </x:c>
      <x:c r="V85" s="4" t="n">
        <x:f>IFERROR(0+(U85*(1+V57)),"待填")</x:f>
        <x:v>0</x:v>
      </x:c>
      <x:c r="W85" s="4" t="n">
        <x:f>IFERROR(0+(V85*(1+W57)),"待填")</x:f>
        <x:v>0</x:v>
      </x:c>
    </x:row>
    <x:row r="86" ht="15.5" customHeight="1">
      <x:c r="A86" s="2"/>
      <x:c r="B86" s="2" t="str"/>
      <x:c r="C86" s="6" t="str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</x:row>
    <x:row r="87" ht="21" customHeight="1">
      <x:c r="A87" s="2"/>
      <x:c r="B87" s="25" t="str">
        <x:v>8.6 处置原价（历史 + 预测）</x:v>
      </x:c>
      <x:c r="C87" s="26" t="str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</x:row>
    <x:row r="88" ht="15.5" customHeight="1">
      <x:c r="A88" s="2"/>
      <x:c r="B88" s="2" t="str">
        <x:v>  土地使用权</x:v>
      </x:c>
      <x:c r="C88" s="6" t="str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 t="n">
        <x:f>IFERROR(0+(T16*U60),"待填")</x:f>
        <x:v>0</x:v>
      </x:c>
      <x:c r="V88" s="4" t="n">
        <x:f>IFERROR(0+(U16*V60),"待填")</x:f>
        <x:v>0</x:v>
      </x:c>
      <x:c r="W88" s="4" t="n">
        <x:f>IFERROR(0+(V16*W60),"待填")</x:f>
        <x:v>0</x:v>
      </x:c>
    </x:row>
    <x:row r="89" ht="15.5" customHeight="1">
      <x:c r="A89" s="2"/>
      <x:c r="B89" s="2" t="str">
        <x:v>  专利权</x:v>
      </x:c>
      <x:c r="C89" s="6" t="str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 t="n">
        <x:f>IFERROR(0+(T17*U61),"待填")</x:f>
        <x:v>0</x:v>
      </x:c>
      <x:c r="V89" s="4" t="n">
        <x:f>IFERROR(0+(U17*V61),"待填")</x:f>
        <x:v>0</x:v>
      </x:c>
      <x:c r="W89" s="4" t="n">
        <x:f>IFERROR(0+(V17*W61),"待填")</x:f>
        <x:v>0</x:v>
      </x:c>
    </x:row>
    <x:row r="90" ht="15.5" customHeight="1">
      <x:c r="A90" s="2"/>
      <x:c r="B90" s="2" t="str">
        <x:v>  非专利技术</x:v>
      </x:c>
      <x:c r="C90" s="6" t="str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 t="n">
        <x:f>IFERROR(0+(T18*U62),"待填")</x:f>
        <x:v>0</x:v>
      </x:c>
      <x:c r="V90" s="4" t="n">
        <x:f>IFERROR(0+(U18*V62),"待填")</x:f>
        <x:v>0</x:v>
      </x:c>
      <x:c r="W90" s="4" t="n">
        <x:f>IFERROR(0+(V18*W62),"待填")</x:f>
        <x:v>0</x:v>
      </x:c>
    </x:row>
    <x:row r="91" ht="15.5" customHeight="1">
      <x:c r="A91" s="2"/>
      <x:c r="B91" s="2" t="str">
        <x:v>  软件</x:v>
      </x:c>
      <x:c r="C91" s="6" t="str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 t="n">
        <x:f>IFERROR(0+(T19*U63),"待填")</x:f>
        <x:v>0</x:v>
      </x:c>
      <x:c r="V91" s="4" t="n">
        <x:f>IFERROR(0+(U19*V63),"待填")</x:f>
        <x:v>0</x:v>
      </x:c>
      <x:c r="W91" s="4" t="n">
        <x:f>IFERROR(0+(V19*W63),"待填")</x:f>
        <x:v>0</x:v>
      </x:c>
    </x:row>
    <x:row r="92" ht="15.5" customHeight="1">
      <x:c r="A92" s="2"/>
      <x:c r="B92" s="2" t="str">
        <x:v>  车位使用权</x:v>
      </x:c>
      <x:c r="C92" s="6" t="str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 t="n">
        <x:f>IFERROR(0+(T20*U64),"待填")</x:f>
        <x:v>0</x:v>
      </x:c>
      <x:c r="V92" s="4" t="n">
        <x:f>IFERROR(0+(U20*V64),"待填")</x:f>
        <x:v>0</x:v>
      </x:c>
      <x:c r="W92" s="4" t="n">
        <x:f>IFERROR(0+(V20*W64),"待填")</x:f>
        <x:v>0</x:v>
      </x:c>
    </x:row>
    <x:row r="93" ht="15.5" customHeight="1">
      <x:c r="A93" s="2"/>
      <x:c r="B93" s="2" t="str"/>
      <x:c r="C93" s="6" t="str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</x:row>
    <x:row r="94" ht="21" customHeight="1">
      <x:c r="A94" s="2"/>
      <x:c r="B94" s="25" t="str">
        <x:v>附：历史原价、重分类及累计折摊滚动</x:v>
      </x:c>
      <x:c r="C94" s="26" t="str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</x:row>
    <x:row r="95" ht="21" customHeight="1">
      <x:c r="A95" s="2"/>
      <x:c r="B95" s="25" t="str">
        <x:v>历史原价与重分类</x:v>
      </x:c>
      <x:c r="C95" s="26" t="str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</x:row>
    <x:row r="96" ht="21" customHeight="1">
      <x:c r="A96" s="2"/>
      <x:c r="B96" s="25" t="str">
        <x:v>【土地使用权】</x:v>
      </x:c>
      <x:c r="C96" s="26" t="str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</x:row>
    <x:row r="97" ht="15.5" customHeight="1">
      <x:c r="A97" s="2"/>
      <x:c r="B97" s="2" t="str">
        <x:v>期初原价（披露）</x:v>
      </x:c>
      <x:c r="C97" s="6" t="str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</x:row>
    <x:row r="98" ht="15.5" customHeight="1">
      <x:c r="A98" s="2"/>
      <x:c r="B98" s="2" t="str">
        <x:v>本期增加（披露）</x:v>
      </x:c>
      <x:c r="C98" s="6" t="str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</x:row>
    <x:row r="99" ht="15.5" customHeight="1">
      <x:c r="A99" s="2"/>
      <x:c r="B99" s="2" t="str">
        <x:v>本期减少（披露）</x:v>
      </x:c>
      <x:c r="C99" s="6" t="str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</x:row>
    <x:row r="100" ht="15.5" customHeight="1">
      <x:c r="A100" s="2"/>
      <x:c r="B100" s="2" t="str">
        <x:v>增加中：外币折算</x:v>
      </x:c>
      <x:c r="C100" s="6" t="str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</x:row>
    <x:row r="101" ht="15.5" customHeight="1">
      <x:c r="A101" s="2"/>
      <x:c r="B101" s="2" t="str">
        <x:v>增加中：企业合并</x:v>
      </x:c>
      <x:c r="C101" s="6" t="str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</x:row>
    <x:row r="102" ht="15.5" customHeight="1">
      <x:c r="A102" s="2"/>
      <x:c r="B102" s="2" t="str">
        <x:v>期初重分类 / 口径调整</x:v>
      </x:c>
      <x:c r="C102" s="6" t="str"/>
      <x:c r="D102" s="4"/>
      <x:c r="E102" s="4" t="n">
        <x:f>IFERROR(0+(E97-D16),"待填")</x:f>
        <x:v>0</x:v>
      </x:c>
      <x:c r="F102" s="4" t="n">
        <x:f>IFERROR(0+(F97-E16),"待填")</x:f>
        <x:v>0</x:v>
      </x:c>
      <x:c r="G102" s="4" t="n">
        <x:f>IFERROR(0+(G97-F16),"待填")</x:f>
        <x:v>0</x:v>
      </x:c>
      <x:c r="H102" s="4" t="n">
        <x:f>IFERROR(0+(H97-G16),"待填")</x:f>
        <x:v>0</x:v>
      </x:c>
      <x:c r="I102" s="4" t="n">
        <x:f>IFERROR(0+(I97-H16),"待填")</x:f>
        <x:v>0</x:v>
      </x:c>
      <x:c r="J102" s="4" t="n">
        <x:f>IFERROR(0+(J97-I16),"待填")</x:f>
        <x:v>0</x:v>
      </x:c>
      <x:c r="K102" s="4" t="n">
        <x:f>IFERROR(0+(K97-J16),"待填")</x:f>
        <x:v>0</x:v>
      </x:c>
      <x:c r="L102" s="4" t="n">
        <x:f>IFERROR(0+(L97-K16),"待填")</x:f>
        <x:v>0</x:v>
      </x:c>
      <x:c r="M102" s="4" t="n">
        <x:f>IFERROR(0+(M97-L16),"待填")</x:f>
        <x:v>0</x:v>
      </x:c>
      <x:c r="N102" s="4" t="n">
        <x:f>IFERROR(0+(N97-M16),"待填")</x:f>
        <x:v>0</x:v>
      </x:c>
      <x:c r="O102" s="4" t="n">
        <x:f>IFERROR(0+(O97-N16),"待填")</x:f>
        <x:v>0</x:v>
      </x:c>
      <x:c r="P102" s="4" t="n">
        <x:f>IFERROR(0+(P97-O16),"待填")</x:f>
        <x:v>0</x:v>
      </x:c>
      <x:c r="Q102" s="4" t="n">
        <x:f>IFERROR(0+(Q97-P16),"待填")</x:f>
        <x:v>0</x:v>
      </x:c>
      <x:c r="R102" s="4" t="n">
        <x:f>IFERROR(0+(R97-Q16),"待填")</x:f>
        <x:v>0</x:v>
      </x:c>
      <x:c r="S102" s="4" t="n">
        <x:f>IFERROR(0+(S97-R16),"待填")</x:f>
        <x:v>0</x:v>
      </x:c>
      <x:c r="T102" s="4" t="n">
        <x:f>IFERROR(0+(T97-S16),"待填")</x:f>
        <x:v>0</x:v>
      </x:c>
      <x:c r="U102" s="4"/>
      <x:c r="V102" s="4"/>
      <x:c r="W102" s="4"/>
    </x:row>
    <x:row r="103" ht="15.5" customHeight="1">
      <x:c r="A103" s="2"/>
      <x:c r="B103" s="29" t="str">
        <x:v>原价滚动校验</x:v>
      </x:c>
      <x:c r="C103" s="32" t="str"/>
      <x:c r="D103" s="33"/>
      <x:c r="E103" s="33" t="n">
        <x:f>IFERROR(0+(E97+E98-E99-E16),"待填")</x:f>
        <x:v>0</x:v>
      </x:c>
      <x:c r="F103" s="33" t="n">
        <x:f>IFERROR(0+(F97+F98-F99-F16),"待填")</x:f>
        <x:v>0</x:v>
      </x:c>
      <x:c r="G103" s="33" t="n">
        <x:f>IFERROR(0+(G97+G98-G99-G16),"待填")</x:f>
        <x:v>0</x:v>
      </x:c>
      <x:c r="H103" s="33" t="n">
        <x:f>IFERROR(0+(H97+H98-H99-H16),"待填")</x:f>
        <x:v>0</x:v>
      </x:c>
      <x:c r="I103" s="33" t="n">
        <x:f>IFERROR(0+(I97+I98-I99-I16),"待填")</x:f>
        <x:v>0</x:v>
      </x:c>
      <x:c r="J103" s="33" t="n">
        <x:f>IFERROR(0+(J97+J98-J99-J16),"待填")</x:f>
        <x:v>0</x:v>
      </x:c>
      <x:c r="K103" s="33" t="n">
        <x:f>IFERROR(0+(K97+K98-K99-K16),"待填")</x:f>
        <x:v>0</x:v>
      </x:c>
      <x:c r="L103" s="33" t="n">
        <x:f>IFERROR(0+(L97+L98-L99-L16),"待填")</x:f>
        <x:v>0</x:v>
      </x:c>
      <x:c r="M103" s="33" t="n">
        <x:f>IFERROR(0+(M97+M98-M99-M16),"待填")</x:f>
        <x:v>0</x:v>
      </x:c>
      <x:c r="N103" s="33" t="n">
        <x:f>IFERROR(0+(N97+N98-N99-N16),"待填")</x:f>
        <x:v>0</x:v>
      </x:c>
      <x:c r="O103" s="33" t="n">
        <x:f>IFERROR(0+(O97+O98-O99-O16),"待填")</x:f>
        <x:v>0</x:v>
      </x:c>
      <x:c r="P103" s="33" t="n">
        <x:f>IFERROR(0+(P97+P98-P99-P16),"待填")</x:f>
        <x:v>0</x:v>
      </x:c>
      <x:c r="Q103" s="33" t="n">
        <x:f>IFERROR(0+(Q97+Q98-Q99-Q16),"待填")</x:f>
        <x:v>0</x:v>
      </x:c>
      <x:c r="R103" s="33" t="n">
        <x:f>IFERROR(0+(R97+R98-R99-R16),"待填")</x:f>
        <x:v>0</x:v>
      </x:c>
      <x:c r="S103" s="33" t="n">
        <x:f>IFERROR(0+(S97+S98-S99-S16),"待填")</x:f>
        <x:v>0</x:v>
      </x:c>
      <x:c r="T103" s="33" t="n">
        <x:f>IFERROR(0+(T97+T98-T99-T16),"待填")</x:f>
        <x:v>0</x:v>
      </x:c>
      <x:c r="U103" s="33"/>
      <x:c r="V103" s="33"/>
      <x:c r="W103" s="33"/>
    </x:row>
    <x:row r="104" ht="15.5" customHeight="1">
      <x:c r="A104" s="2"/>
      <x:c r="B104" s="29" t="str">
        <x:v>净值计算校验</x:v>
      </x:c>
      <x:c r="C104" s="32" t="str"/>
      <x:c r="D104" s="33" t="n">
        <x:f>IFERROR(0+(D16-D23-D30-D7),"待填")</x:f>
        <x:v>0</x:v>
      </x:c>
      <x:c r="E104" s="33" t="n">
        <x:f>IFERROR(0+(E16-E23-E30-E7),"待填")</x:f>
        <x:v>0</x:v>
      </x:c>
      <x:c r="F104" s="33" t="n">
        <x:f>IFERROR(0+(F16-F23-F30-F7),"待填")</x:f>
        <x:v>0</x:v>
      </x:c>
      <x:c r="G104" s="33" t="n">
        <x:f>IFERROR(0+(G16-G23-G30-G7),"待填")</x:f>
        <x:v>0</x:v>
      </x:c>
      <x:c r="H104" s="33" t="n">
        <x:f>IFERROR(0+(H16-H23-H30-H7),"待填")</x:f>
        <x:v>0</x:v>
      </x:c>
      <x:c r="I104" s="33" t="n">
        <x:f>IFERROR(0+(I16-I23-I30-I7),"待填")</x:f>
        <x:v>0</x:v>
      </x:c>
      <x:c r="J104" s="33" t="n">
        <x:f>IFERROR(0+(J16-J23-J30-J7),"待填")</x:f>
        <x:v>0</x:v>
      </x:c>
      <x:c r="K104" s="33" t="n">
        <x:f>IFERROR(0+(K16-K23-K30-K7),"待填")</x:f>
        <x:v>0</x:v>
      </x:c>
      <x:c r="L104" s="33" t="n">
        <x:f>IFERROR(0+(L16-L23-L30-L7),"待填")</x:f>
        <x:v>0</x:v>
      </x:c>
      <x:c r="M104" s="33" t="n">
        <x:f>IFERROR(0+(M16-M23-M30-M7),"待填")</x:f>
        <x:v>0</x:v>
      </x:c>
      <x:c r="N104" s="33" t="n">
        <x:f>IFERROR(0+(N16-N23-N30-N7),"待填")</x:f>
        <x:v>0</x:v>
      </x:c>
      <x:c r="O104" s="33" t="n">
        <x:f>IFERROR(0+(O16-O23-O30-O7),"待填")</x:f>
        <x:v>0</x:v>
      </x:c>
      <x:c r="P104" s="33" t="n">
        <x:f>IFERROR(0+(P16-P23-P30-P7),"待填")</x:f>
        <x:v>0</x:v>
      </x:c>
      <x:c r="Q104" s="33" t="n">
        <x:f>IFERROR(0+(Q16-Q23-Q30-Q7),"待填")</x:f>
        <x:v>0</x:v>
      </x:c>
      <x:c r="R104" s="33" t="n">
        <x:f>IFERROR(0+(R16-R23-R30-R7),"待填")</x:f>
        <x:v>0</x:v>
      </x:c>
      <x:c r="S104" s="33" t="n">
        <x:f>IFERROR(0+(S16-S23-S30-S7),"待填")</x:f>
        <x:v>0</x:v>
      </x:c>
      <x:c r="T104" s="33" t="n">
        <x:f>IFERROR(0+(T16-T23-T30-T7),"待填")</x:f>
        <x:v>0</x:v>
      </x:c>
      <x:c r="U104" s="33" t="n">
        <x:f>IFERROR(0+(U16-U23-U30-U7),"待填")</x:f>
        <x:v>0</x:v>
      </x:c>
      <x:c r="V104" s="33" t="n">
        <x:f>IFERROR(0+(V16-V23-V30-V7),"待填")</x:f>
        <x:v>0</x:v>
      </x:c>
      <x:c r="W104" s="33" t="n">
        <x:f>IFERROR(0+(W16-W23-W30-W7),"待填")</x:f>
        <x:v>0</x:v>
      </x:c>
    </x:row>
    <x:row r="105" ht="21" customHeight="1">
      <x:c r="A105" s="2"/>
      <x:c r="B105" s="25" t="str">
        <x:v>【专利权】</x:v>
      </x:c>
      <x:c r="C105" s="26" t="str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</x:row>
    <x:row r="106" ht="15.5" customHeight="1">
      <x:c r="A106" s="2"/>
      <x:c r="B106" s="2" t="str">
        <x:v>期初原价（披露）</x:v>
      </x:c>
      <x:c r="C106" s="6" t="str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</x:row>
    <x:row r="107" ht="15.5" customHeight="1">
      <x:c r="A107" s="2"/>
      <x:c r="B107" s="2" t="str">
        <x:v>本期增加（披露）</x:v>
      </x:c>
      <x:c r="C107" s="6" t="str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</x:row>
    <x:row r="108" ht="15.5" customHeight="1">
      <x:c r="A108" s="2"/>
      <x:c r="B108" s="2" t="str">
        <x:v>本期减少（披露）</x:v>
      </x:c>
      <x:c r="C108" s="6" t="str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</x:row>
    <x:row r="109" ht="15.5" customHeight="1">
      <x:c r="A109" s="2"/>
      <x:c r="B109" s="2" t="str">
        <x:v>增加中：外币折算</x:v>
      </x:c>
      <x:c r="C109" s="6" t="str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</x:row>
    <x:row r="110" ht="15.5" customHeight="1">
      <x:c r="A110" s="2"/>
      <x:c r="B110" s="2" t="str">
        <x:v>增加中：企业合并</x:v>
      </x:c>
      <x:c r="C110" s="6" t="str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</x:row>
    <x:row r="111" ht="15.5" customHeight="1">
      <x:c r="A111" s="2"/>
      <x:c r="B111" s="2" t="str">
        <x:v>期初重分类 / 口径调整</x:v>
      </x:c>
      <x:c r="C111" s="6" t="str"/>
      <x:c r="D111" s="4"/>
      <x:c r="E111" s="4" t="n">
        <x:f>IFERROR(0+(E106-D17),"待填")</x:f>
        <x:v>0</x:v>
      </x:c>
      <x:c r="F111" s="4" t="n">
        <x:f>IFERROR(0+(F106-E17),"待填")</x:f>
        <x:v>0</x:v>
      </x:c>
      <x:c r="G111" s="4" t="n">
        <x:f>IFERROR(0+(G106-F17),"待填")</x:f>
        <x:v>0</x:v>
      </x:c>
      <x:c r="H111" s="4" t="n">
        <x:f>IFERROR(0+(H106-G17),"待填")</x:f>
        <x:v>0</x:v>
      </x:c>
      <x:c r="I111" s="4" t="n">
        <x:f>IFERROR(0+(I106-H17),"待填")</x:f>
        <x:v>0</x:v>
      </x:c>
      <x:c r="J111" s="4" t="n">
        <x:f>IFERROR(0+(J106-I17),"待填")</x:f>
        <x:v>0</x:v>
      </x:c>
      <x:c r="K111" s="4" t="n">
        <x:f>IFERROR(0+(K106-J17),"待填")</x:f>
        <x:v>0</x:v>
      </x:c>
      <x:c r="L111" s="4" t="n">
        <x:f>IFERROR(0+(L106-K17),"待填")</x:f>
        <x:v>0</x:v>
      </x:c>
      <x:c r="M111" s="4" t="n">
        <x:f>IFERROR(0+(M106-L17),"待填")</x:f>
        <x:v>0</x:v>
      </x:c>
      <x:c r="N111" s="4" t="n">
        <x:f>IFERROR(0+(N106-M17),"待填")</x:f>
        <x:v>0</x:v>
      </x:c>
      <x:c r="O111" s="4" t="n">
        <x:f>IFERROR(0+(O106-N17),"待填")</x:f>
        <x:v>0</x:v>
      </x:c>
      <x:c r="P111" s="4" t="n">
        <x:f>IFERROR(0+(P106-O17),"待填")</x:f>
        <x:v>0</x:v>
      </x:c>
      <x:c r="Q111" s="4" t="n">
        <x:f>IFERROR(0+(Q106-P17),"待填")</x:f>
        <x:v>0</x:v>
      </x:c>
      <x:c r="R111" s="4" t="n">
        <x:f>IFERROR(0+(R106-Q17),"待填")</x:f>
        <x:v>0</x:v>
      </x:c>
      <x:c r="S111" s="4" t="n">
        <x:f>IFERROR(0+(S106-R17),"待填")</x:f>
        <x:v>0</x:v>
      </x:c>
      <x:c r="T111" s="4" t="n">
        <x:f>IFERROR(0+(T106-S17),"待填")</x:f>
        <x:v>0</x:v>
      </x:c>
      <x:c r="U111" s="4"/>
      <x:c r="V111" s="4"/>
      <x:c r="W111" s="4"/>
    </x:row>
    <x:row r="112" ht="15.5" customHeight="1">
      <x:c r="A112" s="2"/>
      <x:c r="B112" s="29" t="str">
        <x:v>原价滚动校验</x:v>
      </x:c>
      <x:c r="C112" s="32" t="str"/>
      <x:c r="D112" s="33"/>
      <x:c r="E112" s="33" t="n">
        <x:f>IFERROR(0+(E106+E107-E108-E17),"待填")</x:f>
        <x:v>0</x:v>
      </x:c>
      <x:c r="F112" s="33" t="n">
        <x:f>IFERROR(0+(F106+F107-F108-F17),"待填")</x:f>
        <x:v>0</x:v>
      </x:c>
      <x:c r="G112" s="33" t="n">
        <x:f>IFERROR(0+(G106+G107-G108-G17),"待填")</x:f>
        <x:v>0</x:v>
      </x:c>
      <x:c r="H112" s="33" t="n">
        <x:f>IFERROR(0+(H106+H107-H108-H17),"待填")</x:f>
        <x:v>0</x:v>
      </x:c>
      <x:c r="I112" s="33" t="n">
        <x:f>IFERROR(0+(I106+I107-I108-I17),"待填")</x:f>
        <x:v>0</x:v>
      </x:c>
      <x:c r="J112" s="33" t="n">
        <x:f>IFERROR(0+(J106+J107-J108-J17),"待填")</x:f>
        <x:v>0</x:v>
      </x:c>
      <x:c r="K112" s="33" t="n">
        <x:f>IFERROR(0+(K106+K107-K108-K17),"待填")</x:f>
        <x:v>0</x:v>
      </x:c>
      <x:c r="L112" s="33" t="n">
        <x:f>IFERROR(0+(L106+L107-L108-L17),"待填")</x:f>
        <x:v>0</x:v>
      </x:c>
      <x:c r="M112" s="33" t="n">
        <x:f>IFERROR(0+(M106+M107-M108-M17),"待填")</x:f>
        <x:v>0</x:v>
      </x:c>
      <x:c r="N112" s="33" t="n">
        <x:f>IFERROR(0+(N106+N107-N108-N17),"待填")</x:f>
        <x:v>0</x:v>
      </x:c>
      <x:c r="O112" s="33" t="n">
        <x:f>IFERROR(0+(O106+O107-O108-O17),"待填")</x:f>
        <x:v>0</x:v>
      </x:c>
      <x:c r="P112" s="33" t="n">
        <x:f>IFERROR(0+(P106+P107-P108-P17),"待填")</x:f>
        <x:v>0</x:v>
      </x:c>
      <x:c r="Q112" s="33" t="n">
        <x:f>IFERROR(0+(Q106+Q107-Q108-Q17),"待填")</x:f>
        <x:v>0</x:v>
      </x:c>
      <x:c r="R112" s="33" t="n">
        <x:f>IFERROR(0+(R106+R107-R108-R17),"待填")</x:f>
        <x:v>0</x:v>
      </x:c>
      <x:c r="S112" s="33" t="n">
        <x:f>IFERROR(0+(S106+S107-S108-S17),"待填")</x:f>
        <x:v>0</x:v>
      </x:c>
      <x:c r="T112" s="33" t="n">
        <x:f>IFERROR(0+(T106+T107-T108-T17),"待填")</x:f>
        <x:v>0</x:v>
      </x:c>
      <x:c r="U112" s="33"/>
      <x:c r="V112" s="33"/>
      <x:c r="W112" s="33"/>
    </x:row>
    <x:row r="113" ht="15.5" customHeight="1">
      <x:c r="A113" s="2"/>
      <x:c r="B113" s="29" t="str">
        <x:v>净值计算校验</x:v>
      </x:c>
      <x:c r="C113" s="32" t="str"/>
      <x:c r="D113" s="33" t="n">
        <x:f>IFERROR(0+(D17-D24-D31-D8),"待填")</x:f>
        <x:v>0</x:v>
      </x:c>
      <x:c r="E113" s="33" t="n">
        <x:f>IFERROR(0+(E17-E24-E31-E8),"待填")</x:f>
        <x:v>0</x:v>
      </x:c>
      <x:c r="F113" s="33" t="n">
        <x:f>IFERROR(0+(F17-F24-F31-F8),"待填")</x:f>
        <x:v>0</x:v>
      </x:c>
      <x:c r="G113" s="33" t="n">
        <x:f>IFERROR(0+(G17-G24-G31-G8),"待填")</x:f>
        <x:v>0</x:v>
      </x:c>
      <x:c r="H113" s="33" t="n">
        <x:f>IFERROR(0+(H17-H24-H31-H8),"待填")</x:f>
        <x:v>0</x:v>
      </x:c>
      <x:c r="I113" s="33" t="n">
        <x:f>IFERROR(0+(I17-I24-I31-I8),"待填")</x:f>
        <x:v>0</x:v>
      </x:c>
      <x:c r="J113" s="33" t="n">
        <x:f>IFERROR(0+(J17-J24-J31-J8),"待填")</x:f>
        <x:v>0</x:v>
      </x:c>
      <x:c r="K113" s="33" t="n">
        <x:f>IFERROR(0+(K17-K24-K31-K8),"待填")</x:f>
        <x:v>0</x:v>
      </x:c>
      <x:c r="L113" s="33" t="n">
        <x:f>IFERROR(0+(L17-L24-L31-L8),"待填")</x:f>
        <x:v>0</x:v>
      </x:c>
      <x:c r="M113" s="33" t="n">
        <x:f>IFERROR(0+(M17-M24-M31-M8),"待填")</x:f>
        <x:v>0</x:v>
      </x:c>
      <x:c r="N113" s="33" t="n">
        <x:f>IFERROR(0+(N17-N24-N31-N8),"待填")</x:f>
        <x:v>0</x:v>
      </x:c>
      <x:c r="O113" s="33" t="n">
        <x:f>IFERROR(0+(O17-O24-O31-O8),"待填")</x:f>
        <x:v>0</x:v>
      </x:c>
      <x:c r="P113" s="33" t="n">
        <x:f>IFERROR(0+(P17-P24-P31-P8),"待填")</x:f>
        <x:v>0</x:v>
      </x:c>
      <x:c r="Q113" s="33" t="n">
        <x:f>IFERROR(0+(Q17-Q24-Q31-Q8),"待填")</x:f>
        <x:v>0</x:v>
      </x:c>
      <x:c r="R113" s="33" t="n">
        <x:f>IFERROR(0+(R17-R24-R31-R8),"待填")</x:f>
        <x:v>0</x:v>
      </x:c>
      <x:c r="S113" s="33" t="n">
        <x:f>IFERROR(0+(S17-S24-S31-S8),"待填")</x:f>
        <x:v>0</x:v>
      </x:c>
      <x:c r="T113" s="33" t="n">
        <x:f>IFERROR(0+(T17-T24-T31-T8),"待填")</x:f>
        <x:v>0</x:v>
      </x:c>
      <x:c r="U113" s="33" t="n">
        <x:f>IFERROR(0+(U17-U24-U31-U8),"待填")</x:f>
        <x:v>0</x:v>
      </x:c>
      <x:c r="V113" s="33" t="n">
        <x:f>IFERROR(0+(V17-V24-V31-V8),"待填")</x:f>
        <x:v>0</x:v>
      </x:c>
      <x:c r="W113" s="33" t="n">
        <x:f>IFERROR(0+(W17-W24-W31-W8),"待填")</x:f>
        <x:v>0</x:v>
      </x:c>
    </x:row>
    <x:row r="114" ht="21" customHeight="1">
      <x:c r="A114" s="2"/>
      <x:c r="B114" s="25" t="str">
        <x:v>【非专利技术】</x:v>
      </x:c>
      <x:c r="C114" s="26" t="str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</x:row>
    <x:row r="115" ht="15.5" customHeight="1">
      <x:c r="A115" s="2"/>
      <x:c r="B115" s="2" t="str">
        <x:v>期初原价（披露）</x:v>
      </x:c>
      <x:c r="C115" s="6" t="str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</x:row>
    <x:row r="116" ht="15.5" customHeight="1">
      <x:c r="A116" s="2"/>
      <x:c r="B116" s="2" t="str">
        <x:v>本期增加（披露）</x:v>
      </x:c>
      <x:c r="C116" s="6" t="str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</x:row>
    <x:row r="117" ht="15.5" customHeight="1">
      <x:c r="A117" s="2"/>
      <x:c r="B117" s="2" t="str">
        <x:v>本期减少（披露）</x:v>
      </x:c>
      <x:c r="C117" s="6" t="str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</x:row>
    <x:row r="118" ht="15.5" customHeight="1">
      <x:c r="A118" s="2"/>
      <x:c r="B118" s="2" t="str">
        <x:v>增加中：外币折算</x:v>
      </x:c>
      <x:c r="C118" s="6" t="str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</x:row>
    <x:row r="119" ht="15.5" customHeight="1">
      <x:c r="A119" s="2"/>
      <x:c r="B119" s="2" t="str">
        <x:v>增加中：企业合并</x:v>
      </x:c>
      <x:c r="C119" s="6" t="str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</x:row>
    <x:row r="120" ht="15.5" customHeight="1">
      <x:c r="A120" s="2"/>
      <x:c r="B120" s="2" t="str">
        <x:v>期初重分类 / 口径调整</x:v>
      </x:c>
      <x:c r="C120" s="6" t="str"/>
      <x:c r="D120" s="4"/>
      <x:c r="E120" s="4" t="n">
        <x:f>IFERROR(0+(E115-D18),"待填")</x:f>
        <x:v>0</x:v>
      </x:c>
      <x:c r="F120" s="4" t="n">
        <x:f>IFERROR(0+(F115-E18),"待填")</x:f>
        <x:v>0</x:v>
      </x:c>
      <x:c r="G120" s="4" t="n">
        <x:f>IFERROR(0+(G115-F18),"待填")</x:f>
        <x:v>0</x:v>
      </x:c>
      <x:c r="H120" s="4" t="n">
        <x:f>IFERROR(0+(H115-G18),"待填")</x:f>
        <x:v>0</x:v>
      </x:c>
      <x:c r="I120" s="4" t="n">
        <x:f>IFERROR(0+(I115-H18),"待填")</x:f>
        <x:v>0</x:v>
      </x:c>
      <x:c r="J120" s="4" t="n">
        <x:f>IFERROR(0+(J115-I18),"待填")</x:f>
        <x:v>0</x:v>
      </x:c>
      <x:c r="K120" s="4" t="n">
        <x:f>IFERROR(0+(K115-J18),"待填")</x:f>
        <x:v>0</x:v>
      </x:c>
      <x:c r="L120" s="4" t="n">
        <x:f>IFERROR(0+(L115-K18),"待填")</x:f>
        <x:v>0</x:v>
      </x:c>
      <x:c r="M120" s="4" t="n">
        <x:f>IFERROR(0+(M115-L18),"待填")</x:f>
        <x:v>0</x:v>
      </x:c>
      <x:c r="N120" s="4" t="n">
        <x:f>IFERROR(0+(N115-M18),"待填")</x:f>
        <x:v>0</x:v>
      </x:c>
      <x:c r="O120" s="4" t="n">
        <x:f>IFERROR(0+(O115-N18),"待填")</x:f>
        <x:v>0</x:v>
      </x:c>
      <x:c r="P120" s="4" t="n">
        <x:f>IFERROR(0+(P115-O18),"待填")</x:f>
        <x:v>0</x:v>
      </x:c>
      <x:c r="Q120" s="4" t="n">
        <x:f>IFERROR(0+(Q115-P18),"待填")</x:f>
        <x:v>0</x:v>
      </x:c>
      <x:c r="R120" s="4" t="n">
        <x:f>IFERROR(0+(R115-Q18),"待填")</x:f>
        <x:v>0</x:v>
      </x:c>
      <x:c r="S120" s="4" t="n">
        <x:f>IFERROR(0+(S115-R18),"待填")</x:f>
        <x:v>0</x:v>
      </x:c>
      <x:c r="T120" s="4" t="n">
        <x:f>IFERROR(0+(T115-S18),"待填")</x:f>
        <x:v>0</x:v>
      </x:c>
      <x:c r="U120" s="4"/>
      <x:c r="V120" s="4"/>
      <x:c r="W120" s="4"/>
    </x:row>
    <x:row r="121" ht="15.5" customHeight="1">
      <x:c r="A121" s="2"/>
      <x:c r="B121" s="29" t="str">
        <x:v>原价滚动校验</x:v>
      </x:c>
      <x:c r="C121" s="32" t="str"/>
      <x:c r="D121" s="33"/>
      <x:c r="E121" s="33" t="n">
        <x:f>IFERROR(0+(E115+E116-E117-E18),"待填")</x:f>
        <x:v>0</x:v>
      </x:c>
      <x:c r="F121" s="33" t="n">
        <x:f>IFERROR(0+(F115+F116-F117-F18),"待填")</x:f>
        <x:v>0</x:v>
      </x:c>
      <x:c r="G121" s="33" t="n">
        <x:f>IFERROR(0+(G115+G116-G117-G18),"待填")</x:f>
        <x:v>0</x:v>
      </x:c>
      <x:c r="H121" s="33" t="n">
        <x:f>IFERROR(0+(H115+H116-H117-H18),"待填")</x:f>
        <x:v>0</x:v>
      </x:c>
      <x:c r="I121" s="33" t="n">
        <x:f>IFERROR(0+(I115+I116-I117-I18),"待填")</x:f>
        <x:v>0</x:v>
      </x:c>
      <x:c r="J121" s="33" t="n">
        <x:f>IFERROR(0+(J115+J116-J117-J18),"待填")</x:f>
        <x:v>0</x:v>
      </x:c>
      <x:c r="K121" s="33" t="n">
        <x:f>IFERROR(0+(K115+K116-K117-K18),"待填")</x:f>
        <x:v>0</x:v>
      </x:c>
      <x:c r="L121" s="33" t="n">
        <x:f>IFERROR(0+(L115+L116-L117-L18),"待填")</x:f>
        <x:v>0</x:v>
      </x:c>
      <x:c r="M121" s="33" t="n">
        <x:f>IFERROR(0+(M115+M116-M117-M18),"待填")</x:f>
        <x:v>0</x:v>
      </x:c>
      <x:c r="N121" s="33" t="n">
        <x:f>IFERROR(0+(N115+N116-N117-N18),"待填")</x:f>
        <x:v>0</x:v>
      </x:c>
      <x:c r="O121" s="33" t="n">
        <x:f>IFERROR(0+(O115+O116-O117-O18),"待填")</x:f>
        <x:v>0</x:v>
      </x:c>
      <x:c r="P121" s="33" t="n">
        <x:f>IFERROR(0+(P115+P116-P117-P18),"待填")</x:f>
        <x:v>0</x:v>
      </x:c>
      <x:c r="Q121" s="33" t="n">
        <x:f>IFERROR(0+(Q115+Q116-Q117-Q18),"待填")</x:f>
        <x:v>0</x:v>
      </x:c>
      <x:c r="R121" s="33" t="n">
        <x:f>IFERROR(0+(R115+R116-R117-R18),"待填")</x:f>
        <x:v>0</x:v>
      </x:c>
      <x:c r="S121" s="33" t="n">
        <x:f>IFERROR(0+(S115+S116-S117-S18),"待填")</x:f>
        <x:v>0</x:v>
      </x:c>
      <x:c r="T121" s="33" t="n">
        <x:f>IFERROR(0+(T115+T116-T117-T18),"待填")</x:f>
        <x:v>0</x:v>
      </x:c>
      <x:c r="U121" s="33"/>
      <x:c r="V121" s="33"/>
      <x:c r="W121" s="33"/>
    </x:row>
    <x:row r="122" ht="15.5" customHeight="1">
      <x:c r="A122" s="2"/>
      <x:c r="B122" s="29" t="str">
        <x:v>净值计算校验</x:v>
      </x:c>
      <x:c r="C122" s="32" t="str"/>
      <x:c r="D122" s="33" t="n">
        <x:f>IFERROR(0+(D18-D25-D32-D9),"待填")</x:f>
        <x:v>0</x:v>
      </x:c>
      <x:c r="E122" s="33" t="n">
        <x:f>IFERROR(0+(E18-E25-E32-E9),"待填")</x:f>
        <x:v>0</x:v>
      </x:c>
      <x:c r="F122" s="33" t="n">
        <x:f>IFERROR(0+(F18-F25-F32-F9),"待填")</x:f>
        <x:v>0</x:v>
      </x:c>
      <x:c r="G122" s="33" t="n">
        <x:f>IFERROR(0+(G18-G25-G32-G9),"待填")</x:f>
        <x:v>0</x:v>
      </x:c>
      <x:c r="H122" s="33" t="n">
        <x:f>IFERROR(0+(H18-H25-H32-H9),"待填")</x:f>
        <x:v>0</x:v>
      </x:c>
      <x:c r="I122" s="33" t="n">
        <x:f>IFERROR(0+(I18-I25-I32-I9),"待填")</x:f>
        <x:v>0</x:v>
      </x:c>
      <x:c r="J122" s="33" t="n">
        <x:f>IFERROR(0+(J18-J25-J32-J9),"待填")</x:f>
        <x:v>0</x:v>
      </x:c>
      <x:c r="K122" s="33" t="n">
        <x:f>IFERROR(0+(K18-K25-K32-K9),"待填")</x:f>
        <x:v>0</x:v>
      </x:c>
      <x:c r="L122" s="33" t="n">
        <x:f>IFERROR(0+(L18-L25-L32-L9),"待填")</x:f>
        <x:v>0</x:v>
      </x:c>
      <x:c r="M122" s="33" t="n">
        <x:f>IFERROR(0+(M18-M25-M32-M9),"待填")</x:f>
        <x:v>0</x:v>
      </x:c>
      <x:c r="N122" s="33" t="n">
        <x:f>IFERROR(0+(N18-N25-N32-N9),"待填")</x:f>
        <x:v>0</x:v>
      </x:c>
      <x:c r="O122" s="33" t="n">
        <x:f>IFERROR(0+(O18-O25-O32-O9),"待填")</x:f>
        <x:v>0</x:v>
      </x:c>
      <x:c r="P122" s="33" t="n">
        <x:f>IFERROR(0+(P18-P25-P32-P9),"待填")</x:f>
        <x:v>0</x:v>
      </x:c>
      <x:c r="Q122" s="33" t="n">
        <x:f>IFERROR(0+(Q18-Q25-Q32-Q9),"待填")</x:f>
        <x:v>0</x:v>
      </x:c>
      <x:c r="R122" s="33" t="n">
        <x:f>IFERROR(0+(R18-R25-R32-R9),"待填")</x:f>
        <x:v>0</x:v>
      </x:c>
      <x:c r="S122" s="33" t="n">
        <x:f>IFERROR(0+(S18-S25-S32-S9),"待填")</x:f>
        <x:v>0</x:v>
      </x:c>
      <x:c r="T122" s="33" t="n">
        <x:f>IFERROR(0+(T18-T25-T32-T9),"待填")</x:f>
        <x:v>0</x:v>
      </x:c>
      <x:c r="U122" s="33" t="n">
        <x:f>IFERROR(0+(U18-U25-U32-U9),"待填")</x:f>
        <x:v>0</x:v>
      </x:c>
      <x:c r="V122" s="33" t="n">
        <x:f>IFERROR(0+(V18-V25-V32-V9),"待填")</x:f>
        <x:v>0</x:v>
      </x:c>
      <x:c r="W122" s="33" t="n">
        <x:f>IFERROR(0+(W18-W25-W32-W9),"待填")</x:f>
        <x:v>0</x:v>
      </x:c>
    </x:row>
    <x:row r="123" ht="21" customHeight="1">
      <x:c r="A123" s="2"/>
      <x:c r="B123" s="25" t="str">
        <x:v>【软件】</x:v>
      </x:c>
      <x:c r="C123" s="26" t="str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</x:row>
    <x:row r="124" ht="15.5" customHeight="1">
      <x:c r="A124" s="2"/>
      <x:c r="B124" s="2" t="str">
        <x:v>期初原价（披露）</x:v>
      </x:c>
      <x:c r="C124" s="6" t="str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</x:row>
    <x:row r="125" ht="15.5" customHeight="1">
      <x:c r="A125" s="2"/>
      <x:c r="B125" s="2" t="str">
        <x:v>本期增加（披露）</x:v>
      </x:c>
      <x:c r="C125" s="6" t="str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</x:row>
    <x:row r="126" ht="15.5" customHeight="1">
      <x:c r="A126" s="2"/>
      <x:c r="B126" s="2" t="str">
        <x:v>本期减少（披露）</x:v>
      </x:c>
      <x:c r="C126" s="6" t="str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</x:row>
    <x:row r="127" ht="15.5" customHeight="1">
      <x:c r="A127" s="2"/>
      <x:c r="B127" s="2" t="str">
        <x:v>增加中：外币折算</x:v>
      </x:c>
      <x:c r="C127" s="6" t="str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</x:row>
    <x:row r="128" ht="15.5" customHeight="1">
      <x:c r="A128" s="2"/>
      <x:c r="B128" s="2" t="str">
        <x:v>增加中：企业合并</x:v>
      </x:c>
      <x:c r="C128" s="6" t="str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</x:row>
    <x:row r="129" ht="15.5" customHeight="1">
      <x:c r="A129" s="2"/>
      <x:c r="B129" s="2" t="str">
        <x:v>期初重分类 / 口径调整</x:v>
      </x:c>
      <x:c r="C129" s="6" t="str"/>
      <x:c r="D129" s="4"/>
      <x:c r="E129" s="4" t="n">
        <x:f>IFERROR(0+(E124-D19),"待填")</x:f>
        <x:v>0</x:v>
      </x:c>
      <x:c r="F129" s="4" t="n">
        <x:f>IFERROR(0+(F124-E19),"待填")</x:f>
        <x:v>0</x:v>
      </x:c>
      <x:c r="G129" s="4" t="n">
        <x:f>IFERROR(0+(G124-F19),"待填")</x:f>
        <x:v>0</x:v>
      </x:c>
      <x:c r="H129" s="4" t="n">
        <x:f>IFERROR(0+(H124-G19),"待填")</x:f>
        <x:v>0</x:v>
      </x:c>
      <x:c r="I129" s="4" t="n">
        <x:f>IFERROR(0+(I124-H19),"待填")</x:f>
        <x:v>0</x:v>
      </x:c>
      <x:c r="J129" s="4" t="n">
        <x:f>IFERROR(0+(J124-I19),"待填")</x:f>
        <x:v>0</x:v>
      </x:c>
      <x:c r="K129" s="4" t="n">
        <x:f>IFERROR(0+(K124-J19),"待填")</x:f>
        <x:v>0</x:v>
      </x:c>
      <x:c r="L129" s="4" t="n">
        <x:f>IFERROR(0+(L124-K19),"待填")</x:f>
        <x:v>0</x:v>
      </x:c>
      <x:c r="M129" s="4" t="n">
        <x:f>IFERROR(0+(M124-L19),"待填")</x:f>
        <x:v>0</x:v>
      </x:c>
      <x:c r="N129" s="4" t="n">
        <x:f>IFERROR(0+(N124-M19),"待填")</x:f>
        <x:v>0</x:v>
      </x:c>
      <x:c r="O129" s="4" t="n">
        <x:f>IFERROR(0+(O124-N19),"待填")</x:f>
        <x:v>0</x:v>
      </x:c>
      <x:c r="P129" s="4" t="n">
        <x:f>IFERROR(0+(P124-O19),"待填")</x:f>
        <x:v>0</x:v>
      </x:c>
      <x:c r="Q129" s="4" t="n">
        <x:f>IFERROR(0+(Q124-P19),"待填")</x:f>
        <x:v>0</x:v>
      </x:c>
      <x:c r="R129" s="4" t="n">
        <x:f>IFERROR(0+(R124-Q19),"待填")</x:f>
        <x:v>0</x:v>
      </x:c>
      <x:c r="S129" s="4" t="n">
        <x:f>IFERROR(0+(S124-R19),"待填")</x:f>
        <x:v>0</x:v>
      </x:c>
      <x:c r="T129" s="4" t="n">
        <x:f>IFERROR(0+(T124-S19),"待填")</x:f>
        <x:v>0</x:v>
      </x:c>
      <x:c r="U129" s="4"/>
      <x:c r="V129" s="4"/>
      <x:c r="W129" s="4"/>
    </x:row>
    <x:row r="130" ht="15.5" customHeight="1">
      <x:c r="A130" s="2"/>
      <x:c r="B130" s="29" t="str">
        <x:v>原价滚动校验</x:v>
      </x:c>
      <x:c r="C130" s="32" t="str"/>
      <x:c r="D130" s="33"/>
      <x:c r="E130" s="33" t="n">
        <x:f>IFERROR(0+(E124+E125-E126-E19),"待填")</x:f>
        <x:v>0</x:v>
      </x:c>
      <x:c r="F130" s="33" t="n">
        <x:f>IFERROR(0+(F124+F125-F126-F19),"待填")</x:f>
        <x:v>0</x:v>
      </x:c>
      <x:c r="G130" s="33" t="n">
        <x:f>IFERROR(0+(G124+G125-G126-G19),"待填")</x:f>
        <x:v>0</x:v>
      </x:c>
      <x:c r="H130" s="33" t="n">
        <x:f>IFERROR(0+(H124+H125-H126-H19),"待填")</x:f>
        <x:v>0</x:v>
      </x:c>
      <x:c r="I130" s="33" t="n">
        <x:f>IFERROR(0+(I124+I125-I126-I19),"待填")</x:f>
        <x:v>0</x:v>
      </x:c>
      <x:c r="J130" s="33" t="n">
        <x:f>IFERROR(0+(J124+J125-J126-J19),"待填")</x:f>
        <x:v>0</x:v>
      </x:c>
      <x:c r="K130" s="33" t="n">
        <x:f>IFERROR(0+(K124+K125-K126-K19),"待填")</x:f>
        <x:v>0</x:v>
      </x:c>
      <x:c r="L130" s="33" t="n">
        <x:f>IFERROR(0+(L124+L125-L126-L19),"待填")</x:f>
        <x:v>0</x:v>
      </x:c>
      <x:c r="M130" s="33" t="n">
        <x:f>IFERROR(0+(M124+M125-M126-M19),"待填")</x:f>
        <x:v>0</x:v>
      </x:c>
      <x:c r="N130" s="33" t="n">
        <x:f>IFERROR(0+(N124+N125-N126-N19),"待填")</x:f>
        <x:v>0</x:v>
      </x:c>
      <x:c r="O130" s="33" t="n">
        <x:f>IFERROR(0+(O124+O125-O126-O19),"待填")</x:f>
        <x:v>0</x:v>
      </x:c>
      <x:c r="P130" s="33" t="n">
        <x:f>IFERROR(0+(P124+P125-P126-P19),"待填")</x:f>
        <x:v>0</x:v>
      </x:c>
      <x:c r="Q130" s="33" t="n">
        <x:f>IFERROR(0+(Q124+Q125-Q126-Q19),"待填")</x:f>
        <x:v>0</x:v>
      </x:c>
      <x:c r="R130" s="33" t="n">
        <x:f>IFERROR(0+(R124+R125-R126-R19),"待填")</x:f>
        <x:v>0</x:v>
      </x:c>
      <x:c r="S130" s="33" t="n">
        <x:f>IFERROR(0+(S124+S125-S126-S19),"待填")</x:f>
        <x:v>0</x:v>
      </x:c>
      <x:c r="T130" s="33" t="n">
        <x:f>IFERROR(0+(T124+T125-T126-T19),"待填")</x:f>
        <x:v>0</x:v>
      </x:c>
      <x:c r="U130" s="33"/>
      <x:c r="V130" s="33"/>
      <x:c r="W130" s="33"/>
    </x:row>
    <x:row r="131" ht="15.5" customHeight="1">
      <x:c r="A131" s="2"/>
      <x:c r="B131" s="29" t="str">
        <x:v>净值计算校验</x:v>
      </x:c>
      <x:c r="C131" s="32" t="str"/>
      <x:c r="D131" s="33" t="n">
        <x:f>IFERROR(0+(D19-D26-D33-D10),"待填")</x:f>
        <x:v>0</x:v>
      </x:c>
      <x:c r="E131" s="33" t="n">
        <x:f>IFERROR(0+(E19-E26-E33-E10),"待填")</x:f>
        <x:v>0</x:v>
      </x:c>
      <x:c r="F131" s="33" t="n">
        <x:f>IFERROR(0+(F19-F26-F33-F10),"待填")</x:f>
        <x:v>0</x:v>
      </x:c>
      <x:c r="G131" s="33" t="n">
        <x:f>IFERROR(0+(G19-G26-G33-G10),"待填")</x:f>
        <x:v>0</x:v>
      </x:c>
      <x:c r="H131" s="33" t="n">
        <x:f>IFERROR(0+(H19-H26-H33-H10),"待填")</x:f>
        <x:v>0</x:v>
      </x:c>
      <x:c r="I131" s="33" t="n">
        <x:f>IFERROR(0+(I19-I26-I33-I10),"待填")</x:f>
        <x:v>0</x:v>
      </x:c>
      <x:c r="J131" s="33" t="n">
        <x:f>IFERROR(0+(J19-J26-J33-J10),"待填")</x:f>
        <x:v>0</x:v>
      </x:c>
      <x:c r="K131" s="33" t="n">
        <x:f>IFERROR(0+(K19-K26-K33-K10),"待填")</x:f>
        <x:v>0</x:v>
      </x:c>
      <x:c r="L131" s="33" t="n">
        <x:f>IFERROR(0+(L19-L26-L33-L10),"待填")</x:f>
        <x:v>0</x:v>
      </x:c>
      <x:c r="M131" s="33" t="n">
        <x:f>IFERROR(0+(M19-M26-M33-M10),"待填")</x:f>
        <x:v>0</x:v>
      </x:c>
      <x:c r="N131" s="33" t="n">
        <x:f>IFERROR(0+(N19-N26-N33-N10),"待填")</x:f>
        <x:v>0</x:v>
      </x:c>
      <x:c r="O131" s="33" t="n">
        <x:f>IFERROR(0+(O19-O26-O33-O10),"待填")</x:f>
        <x:v>0</x:v>
      </x:c>
      <x:c r="P131" s="33" t="n">
        <x:f>IFERROR(0+(P19-P26-P33-P10),"待填")</x:f>
        <x:v>0</x:v>
      </x:c>
      <x:c r="Q131" s="33" t="n">
        <x:f>IFERROR(0+(Q19-Q26-Q33-Q10),"待填")</x:f>
        <x:v>0</x:v>
      </x:c>
      <x:c r="R131" s="33" t="n">
        <x:f>IFERROR(0+(R19-R26-R33-R10),"待填")</x:f>
        <x:v>0</x:v>
      </x:c>
      <x:c r="S131" s="33" t="n">
        <x:f>IFERROR(0+(S19-S26-S33-S10),"待填")</x:f>
        <x:v>0</x:v>
      </x:c>
      <x:c r="T131" s="33" t="n">
        <x:f>IFERROR(0+(T19-T26-T33-T10),"待填")</x:f>
        <x:v>0</x:v>
      </x:c>
      <x:c r="U131" s="33" t="n">
        <x:f>IFERROR(0+(U19-U26-U33-U10),"待填")</x:f>
        <x:v>0</x:v>
      </x:c>
      <x:c r="V131" s="33" t="n">
        <x:f>IFERROR(0+(V19-V26-V33-V10),"待填")</x:f>
        <x:v>0</x:v>
      </x:c>
      <x:c r="W131" s="33" t="n">
        <x:f>IFERROR(0+(W19-W26-W33-W10),"待填")</x:f>
        <x:v>0</x:v>
      </x:c>
    </x:row>
    <x:row r="132" ht="21" customHeight="1">
      <x:c r="A132" s="2"/>
      <x:c r="B132" s="25" t="str">
        <x:v>【车位使用权】</x:v>
      </x:c>
      <x:c r="C132" s="26" t="str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</x:row>
    <x:row r="133" ht="15.5" customHeight="1">
      <x:c r="A133" s="2"/>
      <x:c r="B133" s="2" t="str">
        <x:v>期初原价（披露）</x:v>
      </x:c>
      <x:c r="C133" s="6" t="str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</x:row>
    <x:row r="134" ht="15.5" customHeight="1">
      <x:c r="A134" s="2"/>
      <x:c r="B134" s="2" t="str">
        <x:v>本期增加（披露）</x:v>
      </x:c>
      <x:c r="C134" s="6" t="str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</x:row>
    <x:row r="135" ht="15.5" customHeight="1">
      <x:c r="A135" s="2"/>
      <x:c r="B135" s="2" t="str">
        <x:v>本期减少（披露）</x:v>
      </x:c>
      <x:c r="C135" s="6" t="str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</x:row>
    <x:row r="136" ht="15.5" customHeight="1">
      <x:c r="A136" s="2"/>
      <x:c r="B136" s="2" t="str">
        <x:v>增加中：外币折算</x:v>
      </x:c>
      <x:c r="C136" s="6" t="str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</x:row>
    <x:row r="137" ht="15.5" customHeight="1">
      <x:c r="A137" s="2"/>
      <x:c r="B137" s="2" t="str">
        <x:v>增加中：企业合并</x:v>
      </x:c>
      <x:c r="C137" s="6" t="str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</x:row>
    <x:row r="138" ht="15.5" customHeight="1">
      <x:c r="A138" s="2"/>
      <x:c r="B138" s="2" t="str">
        <x:v>期初重分类 / 口径调整</x:v>
      </x:c>
      <x:c r="C138" s="6" t="str"/>
      <x:c r="D138" s="4"/>
      <x:c r="E138" s="4" t="n">
        <x:f>IFERROR(0+(E133-D20),"待填")</x:f>
        <x:v>0</x:v>
      </x:c>
      <x:c r="F138" s="4" t="n">
        <x:f>IFERROR(0+(F133-E20),"待填")</x:f>
        <x:v>0</x:v>
      </x:c>
      <x:c r="G138" s="4" t="n">
        <x:f>IFERROR(0+(G133-F20),"待填")</x:f>
        <x:v>0</x:v>
      </x:c>
      <x:c r="H138" s="4" t="n">
        <x:f>IFERROR(0+(H133-G20),"待填")</x:f>
        <x:v>0</x:v>
      </x:c>
      <x:c r="I138" s="4" t="n">
        <x:f>IFERROR(0+(I133-H20),"待填")</x:f>
        <x:v>0</x:v>
      </x:c>
      <x:c r="J138" s="4" t="n">
        <x:f>IFERROR(0+(J133-I20),"待填")</x:f>
        <x:v>0</x:v>
      </x:c>
      <x:c r="K138" s="4" t="n">
        <x:f>IFERROR(0+(K133-J20),"待填")</x:f>
        <x:v>0</x:v>
      </x:c>
      <x:c r="L138" s="4" t="n">
        <x:f>IFERROR(0+(L133-K20),"待填")</x:f>
        <x:v>0</x:v>
      </x:c>
      <x:c r="M138" s="4" t="n">
        <x:f>IFERROR(0+(M133-L20),"待填")</x:f>
        <x:v>0</x:v>
      </x:c>
      <x:c r="N138" s="4" t="n">
        <x:f>IFERROR(0+(N133-M20),"待填")</x:f>
        <x:v>0</x:v>
      </x:c>
      <x:c r="O138" s="4" t="n">
        <x:f>IFERROR(0+(O133-N20),"待填")</x:f>
        <x:v>0</x:v>
      </x:c>
      <x:c r="P138" s="4" t="n">
        <x:f>IFERROR(0+(P133-O20),"待填")</x:f>
        <x:v>0</x:v>
      </x:c>
      <x:c r="Q138" s="4" t="n">
        <x:f>IFERROR(0+(Q133-P20),"待填")</x:f>
        <x:v>0</x:v>
      </x:c>
      <x:c r="R138" s="4" t="n">
        <x:f>IFERROR(0+(R133-Q20),"待填")</x:f>
        <x:v>0</x:v>
      </x:c>
      <x:c r="S138" s="4" t="n">
        <x:f>IFERROR(0+(S133-R20),"待填")</x:f>
        <x:v>0</x:v>
      </x:c>
      <x:c r="T138" s="4" t="n">
        <x:f>IFERROR(0+(T133-S20),"待填")</x:f>
        <x:v>0</x:v>
      </x:c>
      <x:c r="U138" s="4"/>
      <x:c r="V138" s="4"/>
      <x:c r="W138" s="4"/>
    </x:row>
    <x:row r="139" ht="15.5" customHeight="1">
      <x:c r="A139" s="2"/>
      <x:c r="B139" s="29" t="str">
        <x:v>原价滚动校验</x:v>
      </x:c>
      <x:c r="C139" s="32" t="str"/>
      <x:c r="D139" s="33"/>
      <x:c r="E139" s="33" t="n">
        <x:f>IFERROR(0+(E133+E134-E135-E20),"待填")</x:f>
        <x:v>0</x:v>
      </x:c>
      <x:c r="F139" s="33" t="n">
        <x:f>IFERROR(0+(F133+F134-F135-F20),"待填")</x:f>
        <x:v>0</x:v>
      </x:c>
      <x:c r="G139" s="33" t="n">
        <x:f>IFERROR(0+(G133+G134-G135-G20),"待填")</x:f>
        <x:v>0</x:v>
      </x:c>
      <x:c r="H139" s="33" t="n">
        <x:f>IFERROR(0+(H133+H134-H135-H20),"待填")</x:f>
        <x:v>0</x:v>
      </x:c>
      <x:c r="I139" s="33" t="n">
        <x:f>IFERROR(0+(I133+I134-I135-I20),"待填")</x:f>
        <x:v>0</x:v>
      </x:c>
      <x:c r="J139" s="33" t="n">
        <x:f>IFERROR(0+(J133+J134-J135-J20),"待填")</x:f>
        <x:v>0</x:v>
      </x:c>
      <x:c r="K139" s="33" t="n">
        <x:f>IFERROR(0+(K133+K134-K135-K20),"待填")</x:f>
        <x:v>0</x:v>
      </x:c>
      <x:c r="L139" s="33" t="n">
        <x:f>IFERROR(0+(L133+L134-L135-L20),"待填")</x:f>
        <x:v>0</x:v>
      </x:c>
      <x:c r="M139" s="33" t="n">
        <x:f>IFERROR(0+(M133+M134-M135-M20),"待填")</x:f>
        <x:v>0</x:v>
      </x:c>
      <x:c r="N139" s="33" t="n">
        <x:f>IFERROR(0+(N133+N134-N135-N20),"待填")</x:f>
        <x:v>0</x:v>
      </x:c>
      <x:c r="O139" s="33" t="n">
        <x:f>IFERROR(0+(O133+O134-O135-O20),"待填")</x:f>
        <x:v>0</x:v>
      </x:c>
      <x:c r="P139" s="33" t="n">
        <x:f>IFERROR(0+(P133+P134-P135-P20),"待填")</x:f>
        <x:v>0</x:v>
      </x:c>
      <x:c r="Q139" s="33" t="n">
        <x:f>IFERROR(0+(Q133+Q134-Q135-Q20),"待填")</x:f>
        <x:v>0</x:v>
      </x:c>
      <x:c r="R139" s="33" t="n">
        <x:f>IFERROR(0+(R133+R134-R135-R20),"待填")</x:f>
        <x:v>0</x:v>
      </x:c>
      <x:c r="S139" s="33" t="n">
        <x:f>IFERROR(0+(S133+S134-S135-S20),"待填")</x:f>
        <x:v>0</x:v>
      </x:c>
      <x:c r="T139" s="33" t="n">
        <x:f>IFERROR(0+(T133+T134-T135-T20),"待填")</x:f>
        <x:v>0</x:v>
      </x:c>
      <x:c r="U139" s="33"/>
      <x:c r="V139" s="33"/>
      <x:c r="W139" s="33"/>
    </x:row>
    <x:row r="140" ht="15.5" customHeight="1">
      <x:c r="A140" s="2"/>
      <x:c r="B140" s="29" t="str">
        <x:v>净值计算校验</x:v>
      </x:c>
      <x:c r="C140" s="32" t="str"/>
      <x:c r="D140" s="33" t="n">
        <x:f>IFERROR(0+(D20-D27-D34-D11),"待填")</x:f>
        <x:v>0</x:v>
      </x:c>
      <x:c r="E140" s="33" t="n">
        <x:f>IFERROR(0+(E20-E27-E34-E11),"待填")</x:f>
        <x:v>0</x:v>
      </x:c>
      <x:c r="F140" s="33" t="n">
        <x:f>IFERROR(0+(F20-F27-F34-F11),"待填")</x:f>
        <x:v>0</x:v>
      </x:c>
      <x:c r="G140" s="33" t="n">
        <x:f>IFERROR(0+(G20-G27-G34-G11),"待填")</x:f>
        <x:v>0</x:v>
      </x:c>
      <x:c r="H140" s="33" t="n">
        <x:f>IFERROR(0+(H20-H27-H34-H11),"待填")</x:f>
        <x:v>0</x:v>
      </x:c>
      <x:c r="I140" s="33" t="n">
        <x:f>IFERROR(0+(I20-I27-I34-I11),"待填")</x:f>
        <x:v>0</x:v>
      </x:c>
      <x:c r="J140" s="33" t="n">
        <x:f>IFERROR(0+(J20-J27-J34-J11),"待填")</x:f>
        <x:v>0</x:v>
      </x:c>
      <x:c r="K140" s="33" t="n">
        <x:f>IFERROR(0+(K20-K27-K34-K11),"待填")</x:f>
        <x:v>0</x:v>
      </x:c>
      <x:c r="L140" s="33" t="n">
        <x:f>IFERROR(0+(L20-L27-L34-L11),"待填")</x:f>
        <x:v>0</x:v>
      </x:c>
      <x:c r="M140" s="33" t="n">
        <x:f>IFERROR(0+(M20-M27-M34-M11),"待填")</x:f>
        <x:v>0</x:v>
      </x:c>
      <x:c r="N140" s="33" t="n">
        <x:f>IFERROR(0+(N20-N27-N34-N11),"待填")</x:f>
        <x:v>0</x:v>
      </x:c>
      <x:c r="O140" s="33" t="n">
        <x:f>IFERROR(0+(O20-O27-O34-O11),"待填")</x:f>
        <x:v>0</x:v>
      </x:c>
      <x:c r="P140" s="33" t="n">
        <x:f>IFERROR(0+(P20-P27-P34-P11),"待填")</x:f>
        <x:v>0</x:v>
      </x:c>
      <x:c r="Q140" s="33" t="n">
        <x:f>IFERROR(0+(Q20-Q27-Q34-Q11),"待填")</x:f>
        <x:v>0</x:v>
      </x:c>
      <x:c r="R140" s="33" t="n">
        <x:f>IFERROR(0+(R20-R27-R34-R11),"待填")</x:f>
        <x:v>0</x:v>
      </x:c>
      <x:c r="S140" s="33" t="n">
        <x:f>IFERROR(0+(S20-S27-S34-S11),"待填")</x:f>
        <x:v>0</x:v>
      </x:c>
      <x:c r="T140" s="33" t="n">
        <x:f>IFERROR(0+(T20-T27-T34-T11),"待填")</x:f>
        <x:v>0</x:v>
      </x:c>
      <x:c r="U140" s="33" t="n">
        <x:f>IFERROR(0+(U20-U27-U34-U11),"待填")</x:f>
        <x:v>0</x:v>
      </x:c>
      <x:c r="V140" s="33" t="n">
        <x:f>IFERROR(0+(V20-V27-V34-V11),"待填")</x:f>
        <x:v>0</x:v>
      </x:c>
      <x:c r="W140" s="33" t="n">
        <x:f>IFERROR(0+(W20-W27-W34-W11),"待填")</x:f>
        <x:v>0</x:v>
      </x:c>
    </x:row>
    <x:row r="141" ht="21" customHeight="1">
      <x:c r="A141" s="2"/>
      <x:c r="B141" s="25" t="str">
        <x:v>累计折摊滚动（历史原始披露）</x:v>
      </x:c>
      <x:c r="C141" s="26" t="str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</x:row>
    <x:row r="142" ht="21" customHeight="1">
      <x:c r="A142" s="2"/>
      <x:c r="B142" s="25" t="str">
        <x:v>【土地使用权】</x:v>
      </x:c>
      <x:c r="C142" s="26" t="str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</x:row>
    <x:row r="143" ht="15.5" customHeight="1">
      <x:c r="A143" s="2"/>
      <x:c r="B143" s="2" t="str">
        <x:v>期初累计折摊</x:v>
      </x:c>
      <x:c r="C143" s="6" t="str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</x:row>
    <x:row r="144" ht="15.5" customHeight="1">
      <x:c r="A144" s="2"/>
      <x:c r="B144" s="2" t="str">
        <x:v>本期增加（含计提/转入/折算）</x:v>
      </x:c>
      <x:c r="C144" s="6" t="str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</x:row>
    <x:row r="145" ht="15.5" customHeight="1">
      <x:c r="A145" s="2"/>
      <x:c r="B145" s="2" t="str">
        <x:v>本期减少</x:v>
      </x:c>
      <x:c r="C145" s="6" t="str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</x:row>
    <x:row r="146" ht="15.5" customHeight="1">
      <x:c r="A146" s="2"/>
      <x:c r="B146" s="29" t="str">
        <x:v>累计折摊滚动校验</x:v>
      </x:c>
      <x:c r="C146" s="32" t="str"/>
      <x:c r="D146" s="33"/>
      <x:c r="E146" s="33" t="n">
        <x:f>IFERROR(0+(E143+E144-E145-E23),"待填")</x:f>
        <x:v>0</x:v>
      </x:c>
      <x:c r="F146" s="33" t="n">
        <x:f>IFERROR(0+(F143+F144-F145-F23),"待填")</x:f>
        <x:v>0</x:v>
      </x:c>
      <x:c r="G146" s="33" t="n">
        <x:f>IFERROR(0+(G143+G144-G145-G23),"待填")</x:f>
        <x:v>0</x:v>
      </x:c>
      <x:c r="H146" s="33" t="n">
        <x:f>IFERROR(0+(H143+H144-H145-H23),"待填")</x:f>
        <x:v>0</x:v>
      </x:c>
      <x:c r="I146" s="33" t="n">
        <x:f>IFERROR(0+(I143+I144-I145-I23),"待填")</x:f>
        <x:v>0</x:v>
      </x:c>
      <x:c r="J146" s="33" t="n">
        <x:f>IFERROR(0+(J143+J144-J145-J23),"待填")</x:f>
        <x:v>0</x:v>
      </x:c>
      <x:c r="K146" s="33" t="n">
        <x:f>IFERROR(0+(K143+K144-K145-K23),"待填")</x:f>
        <x:v>0</x:v>
      </x:c>
      <x:c r="L146" s="33" t="n">
        <x:f>IFERROR(0+(L143+L144-L145-L23),"待填")</x:f>
        <x:v>0</x:v>
      </x:c>
      <x:c r="M146" s="33" t="n">
        <x:f>IFERROR(0+(M143+M144-M145-M23),"待填")</x:f>
        <x:v>0</x:v>
      </x:c>
      <x:c r="N146" s="33" t="n">
        <x:f>IFERROR(0+(N143+N144-N145-N23),"待填")</x:f>
        <x:v>0</x:v>
      </x:c>
      <x:c r="O146" s="33" t="n">
        <x:f>IFERROR(0+(O143+O144-O145-O23),"待填")</x:f>
        <x:v>0</x:v>
      </x:c>
      <x:c r="P146" s="33" t="n">
        <x:f>IFERROR(0+(P143+P144-P145-P23),"待填")</x:f>
        <x:v>0</x:v>
      </x:c>
      <x:c r="Q146" s="33" t="n">
        <x:f>IFERROR(0+(Q143+Q144-Q145-Q23),"待填")</x:f>
        <x:v>0</x:v>
      </x:c>
      <x:c r="R146" s="33" t="n">
        <x:f>IFERROR(0+(R143+R144-R145-R23),"待填")</x:f>
        <x:v>0</x:v>
      </x:c>
      <x:c r="S146" s="33" t="n">
        <x:f>IFERROR(0+(S143+S144-S145-S23),"待填")</x:f>
        <x:v>0</x:v>
      </x:c>
      <x:c r="T146" s="33" t="n">
        <x:f>IFERROR(0+(T143+T144-T145-T23),"待填")</x:f>
        <x:v>0</x:v>
      </x:c>
      <x:c r="U146" s="33"/>
      <x:c r="V146" s="33"/>
      <x:c r="W146" s="33"/>
    </x:row>
    <x:row r="147" ht="21" customHeight="1">
      <x:c r="A147" s="2"/>
      <x:c r="B147" s="25" t="str">
        <x:v>【专利权】</x:v>
      </x:c>
      <x:c r="C147" s="26" t="str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</x:row>
    <x:row r="148" ht="15.5" customHeight="1">
      <x:c r="A148" s="2"/>
      <x:c r="B148" s="2" t="str">
        <x:v>期初累计折摊</x:v>
      </x:c>
      <x:c r="C148" s="6" t="str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</x:row>
    <x:row r="149" ht="15.5" customHeight="1">
      <x:c r="A149" s="2"/>
      <x:c r="B149" s="2" t="str">
        <x:v>本期增加（含计提/转入/折算）</x:v>
      </x:c>
      <x:c r="C149" s="6" t="str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</x:row>
    <x:row r="150" ht="15.5" customHeight="1">
      <x:c r="A150" s="2"/>
      <x:c r="B150" s="2" t="str">
        <x:v>本期减少</x:v>
      </x:c>
      <x:c r="C150" s="6" t="str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</x:row>
    <x:row r="151" ht="15.5" customHeight="1">
      <x:c r="A151" s="2"/>
      <x:c r="B151" s="29" t="str">
        <x:v>累计折摊滚动校验</x:v>
      </x:c>
      <x:c r="C151" s="32" t="str"/>
      <x:c r="D151" s="33"/>
      <x:c r="E151" s="33" t="n">
        <x:f>IFERROR(0+(E148+E149-E150-E24),"待填")</x:f>
        <x:v>0</x:v>
      </x:c>
      <x:c r="F151" s="33" t="n">
        <x:f>IFERROR(0+(F148+F149-F150-F24),"待填")</x:f>
        <x:v>0</x:v>
      </x:c>
      <x:c r="G151" s="33" t="n">
        <x:f>IFERROR(0+(G148+G149-G150-G24),"待填")</x:f>
        <x:v>0</x:v>
      </x:c>
      <x:c r="H151" s="33" t="n">
        <x:f>IFERROR(0+(H148+H149-H150-H24),"待填")</x:f>
        <x:v>0</x:v>
      </x:c>
      <x:c r="I151" s="33" t="n">
        <x:f>IFERROR(0+(I148+I149-I150-I24),"待填")</x:f>
        <x:v>0</x:v>
      </x:c>
      <x:c r="J151" s="33" t="n">
        <x:f>IFERROR(0+(J148+J149-J150-J24),"待填")</x:f>
        <x:v>0</x:v>
      </x:c>
      <x:c r="K151" s="33" t="n">
        <x:f>IFERROR(0+(K148+K149-K150-K24),"待填")</x:f>
        <x:v>0</x:v>
      </x:c>
      <x:c r="L151" s="33" t="n">
        <x:f>IFERROR(0+(L148+L149-L150-L24),"待填")</x:f>
        <x:v>0</x:v>
      </x:c>
      <x:c r="M151" s="33" t="n">
        <x:f>IFERROR(0+(M148+M149-M150-M24),"待填")</x:f>
        <x:v>0</x:v>
      </x:c>
      <x:c r="N151" s="33" t="n">
        <x:f>IFERROR(0+(N148+N149-N150-N24),"待填")</x:f>
        <x:v>0</x:v>
      </x:c>
      <x:c r="O151" s="33" t="n">
        <x:f>IFERROR(0+(O148+O149-O150-O24),"待填")</x:f>
        <x:v>0</x:v>
      </x:c>
      <x:c r="P151" s="33" t="n">
        <x:f>IFERROR(0+(P148+P149-P150-P24),"待填")</x:f>
        <x:v>0</x:v>
      </x:c>
      <x:c r="Q151" s="33" t="n">
        <x:f>IFERROR(0+(Q148+Q149-Q150-Q24),"待填")</x:f>
        <x:v>0</x:v>
      </x:c>
      <x:c r="R151" s="33" t="n">
        <x:f>IFERROR(0+(R148+R149-R150-R24),"待填")</x:f>
        <x:v>0</x:v>
      </x:c>
      <x:c r="S151" s="33" t="n">
        <x:f>IFERROR(0+(S148+S149-S150-S24),"待填")</x:f>
        <x:v>0</x:v>
      </x:c>
      <x:c r="T151" s="33" t="n">
        <x:f>IFERROR(0+(T148+T149-T150-T24),"待填")</x:f>
        <x:v>0</x:v>
      </x:c>
      <x:c r="U151" s="33"/>
      <x:c r="V151" s="33"/>
      <x:c r="W151" s="33"/>
    </x:row>
    <x:row r="152" ht="21" customHeight="1">
      <x:c r="A152" s="2"/>
      <x:c r="B152" s="25" t="str">
        <x:v>【非专利技术】</x:v>
      </x:c>
      <x:c r="C152" s="26" t="str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</x:row>
    <x:row r="153" ht="15.5" customHeight="1">
      <x:c r="A153" s="2"/>
      <x:c r="B153" s="2" t="str">
        <x:v>期初累计折摊</x:v>
      </x:c>
      <x:c r="C153" s="6" t="str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</x:row>
    <x:row r="154" ht="15.5" customHeight="1">
      <x:c r="A154" s="2"/>
      <x:c r="B154" s="2" t="str">
        <x:v>本期增加（含计提/转入/折算）</x:v>
      </x:c>
      <x:c r="C154" s="6" t="str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</x:row>
    <x:row r="155" ht="15.5" customHeight="1">
      <x:c r="A155" s="2"/>
      <x:c r="B155" s="2" t="str">
        <x:v>本期减少</x:v>
      </x:c>
      <x:c r="C155" s="6" t="str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</x:row>
    <x:row r="156" ht="15.5" customHeight="1">
      <x:c r="A156" s="2"/>
      <x:c r="B156" s="29" t="str">
        <x:v>累计折摊滚动校验</x:v>
      </x:c>
      <x:c r="C156" s="32" t="str"/>
      <x:c r="D156" s="33"/>
      <x:c r="E156" s="33" t="n">
        <x:f>IFERROR(0+(E153+E154-E155-E25),"待填")</x:f>
        <x:v>0</x:v>
      </x:c>
      <x:c r="F156" s="33" t="n">
        <x:f>IFERROR(0+(F153+F154-F155-F25),"待填")</x:f>
        <x:v>0</x:v>
      </x:c>
      <x:c r="G156" s="33" t="n">
        <x:f>IFERROR(0+(G153+G154-G155-G25),"待填")</x:f>
        <x:v>0</x:v>
      </x:c>
      <x:c r="H156" s="33" t="n">
        <x:f>IFERROR(0+(H153+H154-H155-H25),"待填")</x:f>
        <x:v>0</x:v>
      </x:c>
      <x:c r="I156" s="33" t="n">
        <x:f>IFERROR(0+(I153+I154-I155-I25),"待填")</x:f>
        <x:v>0</x:v>
      </x:c>
      <x:c r="J156" s="33" t="n">
        <x:f>IFERROR(0+(J153+J154-J155-J25),"待填")</x:f>
        <x:v>0</x:v>
      </x:c>
      <x:c r="K156" s="33" t="n">
        <x:f>IFERROR(0+(K153+K154-K155-K25),"待填")</x:f>
        <x:v>0</x:v>
      </x:c>
      <x:c r="L156" s="33" t="n">
        <x:f>IFERROR(0+(L153+L154-L155-L25),"待填")</x:f>
        <x:v>0</x:v>
      </x:c>
      <x:c r="M156" s="33" t="n">
        <x:f>IFERROR(0+(M153+M154-M155-M25),"待填")</x:f>
        <x:v>0</x:v>
      </x:c>
      <x:c r="N156" s="33" t="n">
        <x:f>IFERROR(0+(N153+N154-N155-N25),"待填")</x:f>
        <x:v>0</x:v>
      </x:c>
      <x:c r="O156" s="33" t="n">
        <x:f>IFERROR(0+(O153+O154-O155-O25),"待填")</x:f>
        <x:v>0</x:v>
      </x:c>
      <x:c r="P156" s="33" t="n">
        <x:f>IFERROR(0+(P153+P154-P155-P25),"待填")</x:f>
        <x:v>0</x:v>
      </x:c>
      <x:c r="Q156" s="33" t="n">
        <x:f>IFERROR(0+(Q153+Q154-Q155-Q25),"待填")</x:f>
        <x:v>0</x:v>
      </x:c>
      <x:c r="R156" s="33" t="n">
        <x:f>IFERROR(0+(R153+R154-R155-R25),"待填")</x:f>
        <x:v>0</x:v>
      </x:c>
      <x:c r="S156" s="33" t="n">
        <x:f>IFERROR(0+(S153+S154-S155-S25),"待填")</x:f>
        <x:v>0</x:v>
      </x:c>
      <x:c r="T156" s="33" t="n">
        <x:f>IFERROR(0+(T153+T154-T155-T25),"待填")</x:f>
        <x:v>0</x:v>
      </x:c>
      <x:c r="U156" s="33"/>
      <x:c r="V156" s="33"/>
      <x:c r="W156" s="33"/>
    </x:row>
    <x:row r="157" ht="21" customHeight="1">
      <x:c r="A157" s="2"/>
      <x:c r="B157" s="25" t="str">
        <x:v>【软件】</x:v>
      </x:c>
      <x:c r="C157" s="26" t="str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</x:row>
    <x:row r="158" ht="15.5" customHeight="1">
      <x:c r="A158" s="2"/>
      <x:c r="B158" s="2" t="str">
        <x:v>期初累计折摊</x:v>
      </x:c>
      <x:c r="C158" s="6" t="str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</x:row>
    <x:row r="159" ht="15.5" customHeight="1">
      <x:c r="A159" s="2"/>
      <x:c r="B159" s="2" t="str">
        <x:v>本期增加（含计提/转入/折算）</x:v>
      </x:c>
      <x:c r="C159" s="6" t="str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</x:row>
    <x:row r="160" ht="15.5" customHeight="1">
      <x:c r="A160" s="2"/>
      <x:c r="B160" s="2" t="str">
        <x:v>本期减少</x:v>
      </x:c>
      <x:c r="C160" s="6" t="str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</x:row>
    <x:row r="161" ht="15.5" customHeight="1">
      <x:c r="A161" s="2"/>
      <x:c r="B161" s="29" t="str">
        <x:v>累计折摊滚动校验</x:v>
      </x:c>
      <x:c r="C161" s="32" t="str"/>
      <x:c r="D161" s="33"/>
      <x:c r="E161" s="33" t="n">
        <x:f>IFERROR(0+(E158+E159-E160-E26),"待填")</x:f>
        <x:v>0</x:v>
      </x:c>
      <x:c r="F161" s="33" t="n">
        <x:f>IFERROR(0+(F158+F159-F160-F26),"待填")</x:f>
        <x:v>0</x:v>
      </x:c>
      <x:c r="G161" s="33" t="n">
        <x:f>IFERROR(0+(G158+G159-G160-G26),"待填")</x:f>
        <x:v>0</x:v>
      </x:c>
      <x:c r="H161" s="33" t="n">
        <x:f>IFERROR(0+(H158+H159-H160-H26),"待填")</x:f>
        <x:v>0</x:v>
      </x:c>
      <x:c r="I161" s="33" t="n">
        <x:f>IFERROR(0+(I158+I159-I160-I26),"待填")</x:f>
        <x:v>0</x:v>
      </x:c>
      <x:c r="J161" s="33" t="n">
        <x:f>IFERROR(0+(J158+J159-J160-J26),"待填")</x:f>
        <x:v>0</x:v>
      </x:c>
      <x:c r="K161" s="33" t="n">
        <x:f>IFERROR(0+(K158+K159-K160-K26),"待填")</x:f>
        <x:v>0</x:v>
      </x:c>
      <x:c r="L161" s="33" t="n">
        <x:f>IFERROR(0+(L158+L159-L160-L26),"待填")</x:f>
        <x:v>0</x:v>
      </x:c>
      <x:c r="M161" s="33" t="n">
        <x:f>IFERROR(0+(M158+M159-M160-M26),"待填")</x:f>
        <x:v>0</x:v>
      </x:c>
      <x:c r="N161" s="33" t="n">
        <x:f>IFERROR(0+(N158+N159-N160-N26),"待填")</x:f>
        <x:v>0</x:v>
      </x:c>
      <x:c r="O161" s="33" t="n">
        <x:f>IFERROR(0+(O158+O159-O160-O26),"待填")</x:f>
        <x:v>0</x:v>
      </x:c>
      <x:c r="P161" s="33" t="n">
        <x:f>IFERROR(0+(P158+P159-P160-P26),"待填")</x:f>
        <x:v>0</x:v>
      </x:c>
      <x:c r="Q161" s="33" t="n">
        <x:f>IFERROR(0+(Q158+Q159-Q160-Q26),"待填")</x:f>
        <x:v>0</x:v>
      </x:c>
      <x:c r="R161" s="33" t="n">
        <x:f>IFERROR(0+(R158+R159-R160-R26),"待填")</x:f>
        <x:v>0</x:v>
      </x:c>
      <x:c r="S161" s="33" t="n">
        <x:f>IFERROR(0+(S158+S159-S160-S26),"待填")</x:f>
        <x:v>0</x:v>
      </x:c>
      <x:c r="T161" s="33" t="n">
        <x:f>IFERROR(0+(T158+T159-T160-T26),"待填")</x:f>
        <x:v>0</x:v>
      </x:c>
      <x:c r="U161" s="33"/>
      <x:c r="V161" s="33"/>
      <x:c r="W161" s="33"/>
    </x:row>
    <x:row r="162" ht="21" customHeight="1">
      <x:c r="A162" s="2"/>
      <x:c r="B162" s="25" t="str">
        <x:v>【车位使用权】</x:v>
      </x:c>
      <x:c r="C162" s="26" t="str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</x:row>
    <x:row r="163" ht="15.5" customHeight="1">
      <x:c r="A163" s="2"/>
      <x:c r="B163" s="2" t="str">
        <x:v>期初累计折摊</x:v>
      </x:c>
      <x:c r="C163" s="6" t="str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</x:row>
    <x:row r="164" ht="15.5" customHeight="1">
      <x:c r="A164" s="2"/>
      <x:c r="B164" s="2" t="str">
        <x:v>本期增加（含计提/转入/折算）</x:v>
      </x:c>
      <x:c r="C164" s="6" t="str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</x:row>
    <x:row r="165" ht="15.5" customHeight="1">
      <x:c r="A165" s="2"/>
      <x:c r="B165" s="2" t="str">
        <x:v>本期减少</x:v>
      </x:c>
      <x:c r="C165" s="6" t="str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</x:row>
    <x:row r="166" ht="15.5" customHeight="1">
      <x:c r="A166" s="2"/>
      <x:c r="B166" s="29" t="str">
        <x:v>累计折摊滚动校验</x:v>
      </x:c>
      <x:c r="C166" s="32" t="str"/>
      <x:c r="D166" s="33"/>
      <x:c r="E166" s="33" t="n">
        <x:f>IFERROR(0+(E163+E164-E165-E27),"待填")</x:f>
        <x:v>0</x:v>
      </x:c>
      <x:c r="F166" s="33" t="n">
        <x:f>IFERROR(0+(F163+F164-F165-F27),"待填")</x:f>
        <x:v>0</x:v>
      </x:c>
      <x:c r="G166" s="33" t="n">
        <x:f>IFERROR(0+(G163+G164-G165-G27),"待填")</x:f>
        <x:v>0</x:v>
      </x:c>
      <x:c r="H166" s="33" t="n">
        <x:f>IFERROR(0+(H163+H164-H165-H27),"待填")</x:f>
        <x:v>0</x:v>
      </x:c>
      <x:c r="I166" s="33" t="n">
        <x:f>IFERROR(0+(I163+I164-I165-I27),"待填")</x:f>
        <x:v>0</x:v>
      </x:c>
      <x:c r="J166" s="33" t="n">
        <x:f>IFERROR(0+(J163+J164-J165-J27),"待填")</x:f>
        <x:v>0</x:v>
      </x:c>
      <x:c r="K166" s="33" t="n">
        <x:f>IFERROR(0+(K163+K164-K165-K27),"待填")</x:f>
        <x:v>0</x:v>
      </x:c>
      <x:c r="L166" s="33" t="n">
        <x:f>IFERROR(0+(L163+L164-L165-L27),"待填")</x:f>
        <x:v>0</x:v>
      </x:c>
      <x:c r="M166" s="33" t="n">
        <x:f>IFERROR(0+(M163+M164-M165-M27),"待填")</x:f>
        <x:v>0</x:v>
      </x:c>
      <x:c r="N166" s="33" t="n">
        <x:f>IFERROR(0+(N163+N164-N165-N27),"待填")</x:f>
        <x:v>0</x:v>
      </x:c>
      <x:c r="O166" s="33" t="n">
        <x:f>IFERROR(0+(O163+O164-O165-O27),"待填")</x:f>
        <x:v>0</x:v>
      </x:c>
      <x:c r="P166" s="33" t="n">
        <x:f>IFERROR(0+(P163+P164-P165-P27),"待填")</x:f>
        <x:v>0</x:v>
      </x:c>
      <x:c r="Q166" s="33" t="n">
        <x:f>IFERROR(0+(Q163+Q164-Q165-Q27),"待填")</x:f>
        <x:v>0</x:v>
      </x:c>
      <x:c r="R166" s="33" t="n">
        <x:f>IFERROR(0+(R163+R164-R165-R27),"待填")</x:f>
        <x:v>0</x:v>
      </x:c>
      <x:c r="S166" s="33" t="n">
        <x:f>IFERROR(0+(S163+S164-S165-S27),"待填")</x:f>
        <x:v>0</x:v>
      </x:c>
      <x:c r="T166" s="33" t="n">
        <x:f>IFERROR(0+(T163+T164-T165-T27),"待填")</x:f>
        <x:v>0</x:v>
      </x:c>
      <x:c r="U166" s="33"/>
      <x:c r="V166" s="33"/>
      <x:c r="W166" s="33"/>
    </x:row>
    <x:row r="167" ht="25" customHeight="1">
      <x:c r="A167" s="2"/>
      <x:c r="B167" s="35" t="str">
        <x:v>【待补说明】填写该公司的口径、特殊事项和预测假设。</x:v>
      </x:c>
      <x:c r="C167" s="35" t="str">
        <x:v>【待补说明】填写该公司的口径、特殊事项和预测假设。</x:v>
      </x:c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</x:row>
    <x:row r="168" ht="25" customHeight="1">
      <x:c r="A168" s="2"/>
      <x:c r="B168" s="35" t="str">
        <x:v>【待补说明】填写该公司的口径、特殊事项和预测假设。</x:v>
      </x:c>
      <x:c r="C168" s="35" t="str">
        <x:v>【待补说明】填写该公司的口径、特殊事项和预测假设。</x:v>
      </x:c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</x:row>
    <x:row r="169" ht="25" customHeight="1">
      <x:c r="A169" s="2"/>
      <x:c r="B169" s="35" t="str">
        <x:v>【待补说明】填写该公司的口径、特殊事项和预测假设。</x:v>
      </x:c>
      <x:c r="C169" s="35" t="str">
        <x:v>【待补说明】填写该公司的口径、特殊事项和预测假设。</x:v>
      </x:c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</x:row>
  </x:sheetData>
  <x:mergeCells>
    <x:mergeCell ref="B1:W1"/>
    <x:mergeCell ref="B2:W2"/>
    <x:mergeCell ref="B3:W3"/>
    <x:mergeCell ref="B167:W167"/>
    <x:mergeCell ref="B168:W168"/>
    <x:mergeCell ref="B169:W169"/>
  </x:mergeCells>
  <x:conditionalFormatting sqref="D14:W14">
    <x:cfRule type="expression" dxfId="42" priority="1">
      <x:formula>AND(ISNUMBER(D14),ABS(D14)&gt;0.02)</x:formula>
    </x:cfRule>
  </x:conditionalFormatting>
  <x:conditionalFormatting sqref="D103:W103">
    <x:cfRule type="expression" dxfId="43" priority="2">
      <x:formula>AND(ISNUMBER(D103),ABS(D103)&gt;0.02)</x:formula>
    </x:cfRule>
  </x:conditionalFormatting>
  <x:conditionalFormatting sqref="D104:W104">
    <x:cfRule type="expression" dxfId="44" priority="3">
      <x:formula>AND(ISNUMBER(D104),ABS(D104)&gt;0.02)</x:formula>
    </x:cfRule>
  </x:conditionalFormatting>
  <x:conditionalFormatting sqref="D112:W112">
    <x:cfRule type="expression" dxfId="45" priority="4">
      <x:formula>AND(ISNUMBER(D112),ABS(D112)&gt;0.02)</x:formula>
    </x:cfRule>
  </x:conditionalFormatting>
  <x:conditionalFormatting sqref="D113:W113">
    <x:cfRule type="expression" dxfId="46" priority="5">
      <x:formula>AND(ISNUMBER(D113),ABS(D113)&gt;0.02)</x:formula>
    </x:cfRule>
  </x:conditionalFormatting>
  <x:conditionalFormatting sqref="D121:W121">
    <x:cfRule type="expression" dxfId="47" priority="6">
      <x:formula>AND(ISNUMBER(D121),ABS(D121)&gt;0.02)</x:formula>
    </x:cfRule>
  </x:conditionalFormatting>
  <x:conditionalFormatting sqref="D122:W122">
    <x:cfRule type="expression" dxfId="48" priority="7">
      <x:formula>AND(ISNUMBER(D122),ABS(D122)&gt;0.02)</x:formula>
    </x:cfRule>
  </x:conditionalFormatting>
  <x:conditionalFormatting sqref="D130:W130">
    <x:cfRule type="expression" dxfId="49" priority="8">
      <x:formula>AND(ISNUMBER(D130),ABS(D130)&gt;0.02)</x:formula>
    </x:cfRule>
  </x:conditionalFormatting>
  <x:conditionalFormatting sqref="D131:W131">
    <x:cfRule type="expression" dxfId="50" priority="9">
      <x:formula>AND(ISNUMBER(D131),ABS(D131)&gt;0.02)</x:formula>
    </x:cfRule>
  </x:conditionalFormatting>
  <x:conditionalFormatting sqref="D139:W139">
    <x:cfRule type="expression" dxfId="51" priority="10">
      <x:formula>AND(ISNUMBER(D139),ABS(D139)&gt;0.02)</x:formula>
    </x:cfRule>
  </x:conditionalFormatting>
  <x:conditionalFormatting sqref="D140:W140">
    <x:cfRule type="expression" dxfId="52" priority="11">
      <x:formula>AND(ISNUMBER(D140),ABS(D140)&gt;0.02)</x:formula>
    </x:cfRule>
  </x:conditionalFormatting>
  <x:conditionalFormatting sqref="D146:W146">
    <x:cfRule type="expression" dxfId="53" priority="12">
      <x:formula>AND(ISNUMBER(D146),ABS(D146)&gt;0.02)</x:formula>
    </x:cfRule>
  </x:conditionalFormatting>
  <x:conditionalFormatting sqref="D151:W151">
    <x:cfRule type="expression" dxfId="54" priority="13">
      <x:formula>AND(ISNUMBER(D151),ABS(D151)&gt;0.02)</x:formula>
    </x:cfRule>
  </x:conditionalFormatting>
  <x:conditionalFormatting sqref="D156:W156">
    <x:cfRule type="expression" dxfId="55" priority="14">
      <x:formula>AND(ISNUMBER(D156),ABS(D156)&gt;0.02)</x:formula>
    </x:cfRule>
  </x:conditionalFormatting>
  <x:conditionalFormatting sqref="D161:W161">
    <x:cfRule type="expression" dxfId="56" priority="15">
      <x:formula>AND(ISNUMBER(D161),ABS(D161)&gt;0.02)</x:formula>
    </x:cfRule>
  </x:conditionalFormatting>
  <x:conditionalFormatting sqref="D166:W166">
    <x:cfRule type="expression" dxfId="57" priority="16">
      <x:formula>AND(ISNUMBER(D166),ABS(D166)&gt;0.02)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3.829999923706055" hidden="0" customWidth="1"/>
    <x:col min="5" max="5" width="13.829999923706055" hidden="0" customWidth="1"/>
    <x:col min="6" max="6" width="13.829999923706055" hidden="0" customWidth="1"/>
    <x:col min="7" max="7" width="13.829999923706055" hidden="0" customWidth="1"/>
    <x:col min="8" max="8" width="13.829999923706055" hidden="0" customWidth="1"/>
    <x:col min="9" max="9" width="13.829999923706055" hidden="0" customWidth="1"/>
    <x:col min="10" max="10" width="13.829999923706055" hidden="0" customWidth="1"/>
    <x:col min="11" max="11" width="13.829999923706055" hidden="0" customWidth="1"/>
    <x:col min="12" max="12" width="13.829999923706055" hidden="0" customWidth="1"/>
    <x:col min="13" max="13" width="13.829999923706055" hidden="0" customWidth="1"/>
    <x:col min="14" max="14" width="13.829999923706055" hidden="0" customWidth="1"/>
    <x:col min="15" max="15" width="13.829999923706055" hidden="0" customWidth="1"/>
    <x:col min="16" max="16" width="13.829999923706055" hidden="0" customWidth="1"/>
    <x:col min="17" max="17" width="13.829999923706055" hidden="0" customWidth="1"/>
    <x:col min="18" max="18" width="13.829999923706055" hidden="0" customWidth="1"/>
    <x:col min="19" max="19" width="13.829999923706055" hidden="0" customWidth="1"/>
    <x:col min="20" max="20" width="13.829999923706055" hidden="0" customWidth="1"/>
    <x:col min="21" max="21" width="13.829999923706055" hidden="0" customWidth="1"/>
    <x:col min="22" max="22" width="13.829999923706055" hidden="0" customWidth="1"/>
    <x:col min="23" max="23" width="13.829999923706055" hidden="0" customWidth="1"/>
    <x:col min="1" max="1" width="2.6600000858306885" hidden="0" customWidth="1"/>
    <x:col min="2" max="2" width="36.65999984741211" hidden="0" customWidth="1"/>
    <x:col min="3" max="3" width="16.5" hidden="0" customWidth="1"/>
  </x:cols>
  <x:sheetData>
    <x:row r="1" ht="26" customHeight="1">
      <x:c r="A1" s="2"/>
      <x:c r="B1" s="7" t="str">
        <x:v>示例公司研发投入与资本化链路</x:v>
      </x:c>
      <x:c r="C1" s="8" t="str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17" customHeight="1">
      <x:c r="A2" s="2"/>
      <x:c r="B2" s="10" t="str">
        <x:v>表达模板；金额与人数单位按各表说明；填入原始年报数据后使用。</x:v>
      </x:c>
      <x:c r="C2" s="11" t="str">
        <x:v>表达模板；金额与人数单位按各表说明；填入原始年报数据后使用。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17" customHeight="1">
      <x:c r="A3" s="2"/>
      <x:c r="B3" s="10" t="str">
        <x:v>表达模板；金额与人数单位按各表说明；填入原始年报数据后使用。</x:v>
      </x:c>
      <x:c r="C3" s="11" t="str">
        <x:v>表达模板；金额与人数单位按各表说明；填入原始年报数据后使用。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</x:row>
    <x:row r="4" ht="15.5" customHeight="1">
      <x:c r="A4" s="2"/>
      <x:c r="B4" s="2" t="str"/>
      <x:c r="C4" s="6" t="str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2"/>
      <x:c r="B5" s="19" t="str">
        <x:v>科目</x:v>
      </x:c>
      <x:c r="C5" s="20" t="str">
        <x:v>附注 / 来源</x:v>
      </x:c>
      <x:c r="D5" s="21" t="str">
        <x:v>2009基准</x:v>
      </x:c>
      <x:c r="E5" s="21" t="str">
        <x:v>2010A</x:v>
      </x:c>
      <x:c r="F5" s="21" t="str">
        <x:v>2011A</x:v>
      </x:c>
      <x:c r="G5" s="21" t="str">
        <x:v>2012A</x:v>
      </x:c>
      <x:c r="H5" s="21" t="str">
        <x:v>2013A</x:v>
      </x:c>
      <x:c r="I5" s="21" t="str">
        <x:v>2014A</x:v>
      </x:c>
      <x:c r="J5" s="21" t="str">
        <x:v>2015A</x:v>
      </x:c>
      <x:c r="K5" s="21" t="str">
        <x:v>2016A</x:v>
      </x:c>
      <x:c r="L5" s="21" t="str">
        <x:v>2017A</x:v>
      </x:c>
      <x:c r="M5" s="21" t="str">
        <x:v>2018A</x:v>
      </x:c>
      <x:c r="N5" s="21" t="str">
        <x:v>2019A</x:v>
      </x:c>
      <x:c r="O5" s="21" t="str">
        <x:v>2020A</x:v>
      </x:c>
      <x:c r="P5" s="21" t="str">
        <x:v>2021A</x:v>
      </x:c>
      <x:c r="Q5" s="21" t="str">
        <x:v>2022A</x:v>
      </x:c>
      <x:c r="R5" s="21" t="str">
        <x:v>2023A</x:v>
      </x:c>
      <x:c r="S5" s="21" t="str">
        <x:v>2024A</x:v>
      </x:c>
      <x:c r="T5" s="21" t="str">
        <x:v>2025A</x:v>
      </x:c>
      <x:c r="U5" s="21" t="str">
        <x:v>2026E</x:v>
      </x:c>
      <x:c r="V5" s="21" t="str">
        <x:v>2027E</x:v>
      </x:c>
      <x:c r="W5" s="21" t="str">
        <x:v>2028E</x:v>
      </x:c>
    </x:row>
    <x:row r="6" ht="21" customHeight="1">
      <x:c r="A6" s="2"/>
      <x:c r="B6" s="25" t="str">
        <x:v>一、研发投入及利润表备忘</x:v>
      </x:c>
      <x:c r="C6" s="26" t="str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</x:row>
    <x:row r="7" ht="15.5" customHeight="1">
      <x:c r="A7" s="2"/>
      <x:c r="B7" s="2" t="str">
        <x:v>研发投入合计</x:v>
      </x:c>
      <x:c r="C7" s="6" t="str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 t="n">
        <x:f>IFERROR(0+(T7*(1+U29)),"待填")</x:f>
        <x:v>0</x:v>
      </x:c>
      <x:c r="V7" s="4" t="n">
        <x:f>IFERROR(0+(U7*(1+V29)),"待填")</x:f>
        <x:v>0</x:v>
      </x:c>
      <x:c r="W7" s="4" t="n">
        <x:f>IFERROR(0+(V7*(1+W29)),"待填")</x:f>
        <x:v>0</x:v>
      </x:c>
    </x:row>
    <x:row r="8" ht="15.5" customHeight="1">
      <x:c r="A8" s="2"/>
      <x:c r="B8" s="2" t="str">
        <x:v>利润表研发费用（备忘）</x:v>
      </x:c>
      <x:c r="C8" s="6" t="str"/>
      <x:c r="D8" s="4"/>
      <x:c r="E8" s="4" t="n">
        <x:f>IFERROR(0+('示例公司三表'!D22*1000),"待填")</x:f>
        <x:v>0</x:v>
      </x:c>
      <x:c r="F8" s="4" t="n">
        <x:f>IFERROR(0+('示例公司三表'!E22*1000),"待填")</x:f>
        <x:v>0</x:v>
      </x:c>
      <x:c r="G8" s="4" t="n">
        <x:f>IFERROR(0+('示例公司三表'!F22*1000),"待填")</x:f>
        <x:v>0</x:v>
      </x:c>
      <x:c r="H8" s="4" t="n">
        <x:f>IFERROR(0+('示例公司三表'!G22*1000),"待填")</x:f>
        <x:v>0</x:v>
      </x:c>
      <x:c r="I8" s="4" t="n">
        <x:f>IFERROR(0+('示例公司三表'!H22*1000),"待填")</x:f>
        <x:v>0</x:v>
      </x:c>
      <x:c r="J8" s="4" t="n">
        <x:f>IFERROR(0+('示例公司三表'!I22*1000),"待填")</x:f>
        <x:v>0</x:v>
      </x:c>
      <x:c r="K8" s="4" t="n">
        <x:f>IFERROR(0+('示例公司三表'!J22*1000),"待填")</x:f>
        <x:v>0</x:v>
      </x:c>
      <x:c r="L8" s="4" t="n">
        <x:f>IFERROR(0+('示例公司三表'!K22*1000),"待填")</x:f>
        <x:v>0</x:v>
      </x:c>
      <x:c r="M8" s="4" t="n">
        <x:f>IFERROR(0+('示例公司三表'!L22*1000),"待填")</x:f>
        <x:v>0</x:v>
      </x:c>
      <x:c r="N8" s="4" t="n">
        <x:f>IFERROR(0+('示例公司三表'!M22*1000),"待填")</x:f>
        <x:v>0</x:v>
      </x:c>
      <x:c r="O8" s="4" t="n">
        <x:f>IFERROR(0+('示例公司三表'!N22*1000),"待填")</x:f>
        <x:v>0</x:v>
      </x:c>
      <x:c r="P8" s="4" t="n">
        <x:f>IFERROR(0+('示例公司三表'!O22*1000),"待填")</x:f>
        <x:v>0</x:v>
      </x:c>
      <x:c r="Q8" s="4" t="n">
        <x:f>IFERROR(0+('示例公司三表'!P22*1000),"待填")</x:f>
        <x:v>0</x:v>
      </x:c>
      <x:c r="R8" s="4" t="n">
        <x:f>IFERROR(0+('示例公司三表'!Q22*1000),"待填")</x:f>
        <x:v>0</x:v>
      </x:c>
      <x:c r="S8" s="4" t="n">
        <x:f>IFERROR(0+('示例公司三表'!R22*1000),"待填")</x:f>
        <x:v>0</x:v>
      </x:c>
      <x:c r="T8" s="4" t="n">
        <x:f>IFERROR(0+('示例公司三表'!S22*1000),"待填")</x:f>
        <x:v>0</x:v>
      </x:c>
      <x:c r="U8" s="4"/>
      <x:c r="V8" s="4"/>
      <x:c r="W8" s="4"/>
    </x:row>
    <x:row r="9" ht="21" customHeight="1">
      <x:c r="A9" s="2"/>
      <x:c r="B9" s="25" t="str">
        <x:v>研发费用按性质（2018 年起披露，资本化为零时与投入总额一致）</x:v>
      </x:c>
      <x:c r="C9" s="26" t="str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</x:row>
    <x:row r="10" ht="15.5" customHeight="1">
      <x:c r="A10" s="2"/>
      <x:c r="B10" s="2" t="str">
        <x:v>职工薪酬</x:v>
      </x:c>
      <x:c r="C10" s="6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 t="n">
        <x:f>IFERROR(0+(U7*0),"待填")</x:f>
        <x:v>0</x:v>
      </x:c>
      <x:c r="V10" s="4" t="n">
        <x:f>IFERROR(0+(V7*0),"待填")</x:f>
        <x:v>0</x:v>
      </x:c>
      <x:c r="W10" s="4" t="n">
        <x:f>IFERROR(0+(W7*0),"待填")</x:f>
        <x:v>0</x:v>
      </x:c>
    </x:row>
    <x:row r="11" ht="15.5" customHeight="1">
      <x:c r="A11" s="2"/>
      <x:c r="B11" s="2" t="str">
        <x:v>直接投入</x:v>
      </x:c>
      <x:c r="C11" s="6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 t="n">
        <x:f>IFERROR(0+(U7*0),"待填")</x:f>
        <x:v>0</x:v>
      </x:c>
      <x:c r="V11" s="4" t="n">
        <x:f>IFERROR(0+(V7*0),"待填")</x:f>
        <x:v>0</x:v>
      </x:c>
      <x:c r="W11" s="4" t="n">
        <x:f>IFERROR(0+(W7*0),"待填")</x:f>
        <x:v>0</x:v>
      </x:c>
    </x:row>
    <x:row r="12" ht="15.5" customHeight="1">
      <x:c r="A12" s="2"/>
      <x:c r="B12" s="2" t="str">
        <x:v>折旧及摊销</x:v>
      </x:c>
      <x:c r="C12" s="6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 t="n">
        <x:f>IFERROR(0+(U7*0),"待填")</x:f>
        <x:v>0</x:v>
      </x:c>
      <x:c r="V12" s="4" t="n">
        <x:f>IFERROR(0+(V7*0),"待填")</x:f>
        <x:v>0</x:v>
      </x:c>
      <x:c r="W12" s="4" t="n">
        <x:f>IFERROR(0+(W7*0),"待填")</x:f>
        <x:v>0</x:v>
      </x:c>
    </x:row>
    <x:row r="13" ht="15.5" customHeight="1">
      <x:c r="A13" s="2"/>
      <x:c r="B13" s="2" t="str">
        <x:v>股权激励费用</x:v>
      </x:c>
      <x:c r="C13" s="6" t="str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 t="n">
        <x:f>IFERROR(0+(U7*0),"待填")</x:f>
        <x:v>0</x:v>
      </x:c>
      <x:c r="V13" s="4" t="n">
        <x:f>IFERROR(0+(V7*0),"待填")</x:f>
        <x:v>0</x:v>
      </x:c>
      <x:c r="W13" s="4" t="n">
        <x:f>IFERROR(0+(W7*0),"待填")</x:f>
        <x:v>0</x:v>
      </x:c>
    </x:row>
    <x:row r="14" ht="15.5" customHeight="1">
      <x:c r="A14" s="2"/>
      <x:c r="B14" s="2" t="str">
        <x:v>其他</x:v>
      </x:c>
      <x:c r="C14" s="6" t="str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 t="n">
        <x:f>IFERROR(0+(U7*0),"待填")</x:f>
        <x:v>0</x:v>
      </x:c>
      <x:c r="V14" s="4" t="n">
        <x:f>IFERROR(0+(V7*0),"待填")</x:f>
        <x:v>0</x:v>
      </x:c>
      <x:c r="W14" s="4" t="n">
        <x:f>IFERROR(0+(W7*0),"待填")</x:f>
        <x:v>0</x:v>
      </x:c>
    </x:row>
    <x:row r="15" ht="15.5" customHeight="1">
      <x:c r="A15" s="2"/>
      <x:c r="B15" s="29" t="str">
        <x:v>性质合计与投入总额差额</x:v>
      </x:c>
      <x:c r="C15" s="32" t="str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 t="n">
        <x:f>IFERROR(0+(SUM(M10:M14)-M7),"待填")</x:f>
        <x:v>0</x:v>
      </x:c>
      <x:c r="N15" s="33" t="n">
        <x:f>IFERROR(0+(SUM(N10:N14)-N7),"待填")</x:f>
        <x:v>0</x:v>
      </x:c>
      <x:c r="O15" s="33" t="n">
        <x:f>IFERROR(0+(SUM(O10:O14)-O7),"待填")</x:f>
        <x:v>0</x:v>
      </x:c>
      <x:c r="P15" s="33" t="n">
        <x:f>IFERROR(0+(SUM(P10:P14)-P7),"待填")</x:f>
        <x:v>0</x:v>
      </x:c>
      <x:c r="Q15" s="33" t="n">
        <x:f>IFERROR(0+(SUM(Q10:Q14)-Q7),"待填")</x:f>
        <x:v>0</x:v>
      </x:c>
      <x:c r="R15" s="33" t="n">
        <x:f>IFERROR(0+(SUM(R10:R14)-R7),"待填")</x:f>
        <x:v>0</x:v>
      </x:c>
      <x:c r="S15" s="33" t="n">
        <x:f>IFERROR(0+(SUM(S10:S14)-S7),"待填")</x:f>
        <x:v>0</x:v>
      </x:c>
      <x:c r="T15" s="33" t="n">
        <x:f>IFERROR(0+(SUM(T10:T14)-T7),"待填")</x:f>
        <x:v>0</x:v>
      </x:c>
      <x:c r="U15" s="33" t="n">
        <x:f>IFERROR(0+(SUM(U10:U14)-U7),"待填")</x:f>
        <x:v>0</x:v>
      </x:c>
      <x:c r="V15" s="33" t="n">
        <x:f>IFERROR(0+(SUM(V10:V14)-V7),"待填")</x:f>
        <x:v>0</x:v>
      </x:c>
      <x:c r="W15" s="33" t="n">
        <x:f>IFERROR(0+(SUM(W10:W14)-W7),"待填")</x:f>
        <x:v>0</x:v>
      </x:c>
    </x:row>
    <x:row r="16" ht="21" customHeight="1">
      <x:c r="A16" s="2"/>
      <x:c r="B16" s="25" t="str">
        <x:v>二、费用化与资本化</x:v>
      </x:c>
      <x:c r="C16" s="26" t="str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</x:row>
    <x:row r="17" ht="15.5" customHeight="1">
      <x:c r="A17" s="2"/>
      <x:c r="B17" s="2" t="str">
        <x:v>费用化研发投入</x:v>
      </x:c>
      <x:c r="C17" s="6" t="str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 t="n">
        <x:f>IFERROR(0+(U7-U18),"待填")</x:f>
        <x:v>0</x:v>
      </x:c>
      <x:c r="V17" s="4" t="n">
        <x:f>IFERROR(0+(V7-V18),"待填")</x:f>
        <x:v>0</x:v>
      </x:c>
      <x:c r="W17" s="4" t="n">
        <x:f>IFERROR(0+(W7-W18),"待填")</x:f>
        <x:v>0</x:v>
      </x:c>
    </x:row>
    <x:row r="18" ht="15.5" customHeight="1">
      <x:c r="A18" s="2"/>
      <x:c r="B18" s="2" t="str">
        <x:v>资本化研发投入</x:v>
      </x:c>
      <x:c r="C18" s="6" t="str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n">
        <x:f>IFERROR(0+(U7*U30),"待填")</x:f>
        <x:v>0</x:v>
      </x:c>
      <x:c r="V18" s="4" t="n">
        <x:f>IFERROR(0+(V7*V30),"待填")</x:f>
        <x:v>0</x:v>
      </x:c>
      <x:c r="W18" s="4" t="n">
        <x:f>IFERROR(0+(W7*W30),"待填")</x:f>
        <x:v>0</x:v>
      </x:c>
    </x:row>
    <x:row r="19" ht="15.5" customHeight="1">
      <x:c r="A19" s="2"/>
      <x:c r="B19" s="29" t="str">
        <x:v>费用化加资本化与总投入校验</x:v>
      </x:c>
      <x:c r="C19" s="32" t="str"/>
      <x:c r="D19" s="33"/>
      <x:c r="E19" s="33" t="str">
        <x:f>IFERROR(0+(IF(AND(ISNUMBER(E17),ISNUMBER(E18)),E17+E18-E7,"n.a.")),"待填")</x:f>
        <x:v>待填</x:v>
      </x:c>
      <x:c r="F19" s="33" t="str">
        <x:f>IFERROR(0+(IF(AND(ISNUMBER(F17),ISNUMBER(F18)),F17+F18-F7,"n.a.")),"待填")</x:f>
        <x:v>待填</x:v>
      </x:c>
      <x:c r="G19" s="33" t="str">
        <x:f>IFERROR(0+(IF(AND(ISNUMBER(G17),ISNUMBER(G18)),G17+G18-G7,"n.a.")),"待填")</x:f>
        <x:v>待填</x:v>
      </x:c>
      <x:c r="H19" s="33" t="str">
        <x:f>IFERROR(0+(IF(AND(ISNUMBER(H17),ISNUMBER(H18)),H17+H18-H7,"n.a.")),"待填")</x:f>
        <x:v>待填</x:v>
      </x:c>
      <x:c r="I19" s="33" t="str">
        <x:f>IFERROR(0+(IF(AND(ISNUMBER(I17),ISNUMBER(I18)),I17+I18-I7,"n.a.")),"待填")</x:f>
        <x:v>待填</x:v>
      </x:c>
      <x:c r="J19" s="33" t="str">
        <x:f>IFERROR(0+(IF(AND(ISNUMBER(J17),ISNUMBER(J18)),J17+J18-J7,"n.a.")),"待填")</x:f>
        <x:v>待填</x:v>
      </x:c>
      <x:c r="K19" s="33" t="str">
        <x:f>IFERROR(0+(IF(AND(ISNUMBER(K17),ISNUMBER(K18)),K17+K18-K7,"n.a.")),"待填")</x:f>
        <x:v>待填</x:v>
      </x:c>
      <x:c r="L19" s="33" t="str">
        <x:f>IFERROR(0+(IF(AND(ISNUMBER(L17),ISNUMBER(L18)),L17+L18-L7,"n.a.")),"待填")</x:f>
        <x:v>待填</x:v>
      </x:c>
      <x:c r="M19" s="33" t="str">
        <x:f>IFERROR(0+(IF(AND(ISNUMBER(M17),ISNUMBER(M18)),M17+M18-M7,"n.a.")),"待填")</x:f>
        <x:v>待填</x:v>
      </x:c>
      <x:c r="N19" s="33" t="str">
        <x:f>IFERROR(0+(IF(AND(ISNUMBER(N17),ISNUMBER(N18)),N17+N18-N7,"n.a.")),"待填")</x:f>
        <x:v>待填</x:v>
      </x:c>
      <x:c r="O19" s="33" t="str">
        <x:f>IFERROR(0+(IF(AND(ISNUMBER(O17),ISNUMBER(O18)),O17+O18-O7,"n.a.")),"待填")</x:f>
        <x:v>待填</x:v>
      </x:c>
      <x:c r="P19" s="33" t="str">
        <x:f>IFERROR(0+(IF(AND(ISNUMBER(P17),ISNUMBER(P18)),P17+P18-P7,"n.a.")),"待填")</x:f>
        <x:v>待填</x:v>
      </x:c>
      <x:c r="Q19" s="33" t="str">
        <x:f>IFERROR(0+(IF(AND(ISNUMBER(Q17),ISNUMBER(Q18)),Q17+Q18-Q7,"n.a.")),"待填")</x:f>
        <x:v>待填</x:v>
      </x:c>
      <x:c r="R19" s="33" t="str">
        <x:f>IFERROR(0+(IF(AND(ISNUMBER(R17),ISNUMBER(R18)),R17+R18-R7,"n.a.")),"待填")</x:f>
        <x:v>待填</x:v>
      </x:c>
      <x:c r="S19" s="33" t="str">
        <x:f>IFERROR(0+(IF(AND(ISNUMBER(S17),ISNUMBER(S18)),S17+S18-S7,"n.a.")),"待填")</x:f>
        <x:v>待填</x:v>
      </x:c>
      <x:c r="T19" s="33" t="str">
        <x:f>IFERROR(0+(IF(AND(ISNUMBER(T17),ISNUMBER(T18)),T17+T18-T7,"n.a.")),"待填")</x:f>
        <x:v>待填</x:v>
      </x:c>
      <x:c r="U19" s="33" t="n">
        <x:f>IFERROR(0+(IF(AND(ISNUMBER(U17),ISNUMBER(U18)),U17+U18-U7,"n.a.")),"待填")</x:f>
        <x:v>0</x:v>
      </x:c>
      <x:c r="V19" s="33" t="n">
        <x:f>IFERROR(0+(IF(AND(ISNUMBER(V17),ISNUMBER(V18)),V17+V18-V7,"n.a.")),"待填")</x:f>
        <x:v>0</x:v>
      </x:c>
      <x:c r="W19" s="33" t="n">
        <x:f>IFERROR(0+(IF(AND(ISNUMBER(W17),ISNUMBER(W18)),W17+W18-W7,"n.a.")),"待填")</x:f>
        <x:v>0</x:v>
      </x:c>
    </x:row>
    <x:row r="20" ht="15.5" customHeight="1">
      <x:c r="A20" s="2"/>
      <x:c r="B20" s="2" t="str">
        <x:v>研发资本化率</x:v>
      </x:c>
      <x:c r="C20" s="46" t="str"/>
      <x:c r="D20" s="85"/>
      <x:c r="E20" s="85" t="str">
        <x:f>IFERROR(0+(IF(ISNUMBER(E18),IF(E7=0,0,E18/E7),"n.a.")),"待填")</x:f>
        <x:v>待填</x:v>
      </x:c>
      <x:c r="F20" s="85" t="str">
        <x:f>IFERROR(0+(IF(ISNUMBER(F18),IF(F7=0,0,F18/F7),"n.a.")),"待填")</x:f>
        <x:v>待填</x:v>
      </x:c>
      <x:c r="G20" s="85" t="str">
        <x:f>IFERROR(0+(IF(ISNUMBER(G18),IF(G7=0,0,G18/G7),"n.a.")),"待填")</x:f>
        <x:v>待填</x:v>
      </x:c>
      <x:c r="H20" s="85" t="str">
        <x:f>IFERROR(0+(IF(ISNUMBER(H18),IF(H7=0,0,H18/H7),"n.a.")),"待填")</x:f>
        <x:v>待填</x:v>
      </x:c>
      <x:c r="I20" s="85" t="str">
        <x:f>IFERROR(0+(IF(ISNUMBER(I18),IF(I7=0,0,I18/I7),"n.a.")),"待填")</x:f>
        <x:v>待填</x:v>
      </x:c>
      <x:c r="J20" s="85" t="str">
        <x:f>IFERROR(0+(IF(ISNUMBER(J18),IF(J7=0,0,J18/J7),"n.a.")),"待填")</x:f>
        <x:v>待填</x:v>
      </x:c>
      <x:c r="K20" s="85" t="str">
        <x:f>IFERROR(0+(IF(ISNUMBER(K18),IF(K7=0,0,K18/K7),"n.a.")),"待填")</x:f>
        <x:v>待填</x:v>
      </x:c>
      <x:c r="L20" s="85" t="str">
        <x:f>IFERROR(0+(IF(ISNUMBER(L18),IF(L7=0,0,L18/L7),"n.a.")),"待填")</x:f>
        <x:v>待填</x:v>
      </x:c>
      <x:c r="M20" s="85" t="str">
        <x:f>IFERROR(0+(IF(ISNUMBER(M18),IF(M7=0,0,M18/M7),"n.a.")),"待填")</x:f>
        <x:v>待填</x:v>
      </x:c>
      <x:c r="N20" s="85" t="str">
        <x:f>IFERROR(0+(IF(ISNUMBER(N18),IF(N7=0,0,N18/N7),"n.a.")),"待填")</x:f>
        <x:v>待填</x:v>
      </x:c>
      <x:c r="O20" s="85" t="str">
        <x:f>IFERROR(0+(IF(ISNUMBER(O18),IF(O7=0,0,O18/O7),"n.a.")),"待填")</x:f>
        <x:v>待填</x:v>
      </x:c>
      <x:c r="P20" s="85" t="str">
        <x:f>IFERROR(0+(IF(ISNUMBER(P18),IF(P7=0,0,P18/P7),"n.a.")),"待填")</x:f>
        <x:v>待填</x:v>
      </x:c>
      <x:c r="Q20" s="85" t="str">
        <x:f>IFERROR(0+(IF(ISNUMBER(Q18),IF(Q7=0,0,Q18/Q7),"n.a.")),"待填")</x:f>
        <x:v>待填</x:v>
      </x:c>
      <x:c r="R20" s="85" t="str">
        <x:f>IFERROR(0+(IF(ISNUMBER(R18),IF(R7=0,0,R18/R7),"n.a.")),"待填")</x:f>
        <x:v>待填</x:v>
      </x:c>
      <x:c r="S20" s="85" t="str">
        <x:f>IFERROR(0+(IF(ISNUMBER(S18),IF(S7=0,0,S18/S7),"n.a.")),"待填")</x:f>
        <x:v>待填</x:v>
      </x:c>
      <x:c r="T20" s="85" t="str">
        <x:f>IFERROR(0+(IF(ISNUMBER(T18),IF(T7=0,0,T18/T7),"n.a.")),"待填")</x:f>
        <x:v>待填</x:v>
      </x:c>
      <x:c r="U20" s="85" t="n">
        <x:f>IFERROR(0+(IF(ISNUMBER(U18),IF(U7=0,0,U18/U7),"n.a.")),"待填")</x:f>
        <x:v>0</x:v>
      </x:c>
      <x:c r="V20" s="85" t="n">
        <x:f>IFERROR(0+(IF(ISNUMBER(V18),IF(V7=0,0,V18/V7),"n.a.")),"待填")</x:f>
        <x:v>0</x:v>
      </x:c>
      <x:c r="W20" s="85" t="n">
        <x:f>IFERROR(0+(IF(ISNUMBER(W18),IF(W7=0,0,W18/W7),"n.a.")),"待填")</x:f>
        <x:v>0</x:v>
      </x:c>
    </x:row>
    <x:row r="21" ht="21" customHeight="1">
      <x:c r="A21" s="2"/>
      <x:c r="B21" s="25" t="str">
        <x:v>三、开发支出滚动与无形资产转入</x:v>
      </x:c>
      <x:c r="C21" s="26" t="str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</x:row>
    <x:row r="22" ht="15.5" customHeight="1">
      <x:c r="A22" s="2"/>
      <x:c r="B22" s="2" t="str">
        <x:v>期初开发支出</x:v>
      </x:c>
      <x:c r="C22" s="6" t="str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n">
        <x:f>IFERROR(0+(T26),"待填")</x:f>
        <x:v>0</x:v>
      </x:c>
      <x:c r="V22" s="4" t="n">
        <x:f>IFERROR(0+(U26),"待填")</x:f>
        <x:v>0</x:v>
      </x:c>
      <x:c r="W22" s="4" t="n">
        <x:f>IFERROR(0+(V26),"待填")</x:f>
        <x:v>0</x:v>
      </x:c>
    </x:row>
    <x:row r="23" ht="15.5" customHeight="1">
      <x:c r="A23" s="2"/>
      <x:c r="B23" s="2" t="str">
        <x:v>本期内部开发资本化</x:v>
      </x:c>
      <x:c r="C23" s="6" t="str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n">
        <x:f>IFERROR(0+(U18),"待填")</x:f>
        <x:v>0</x:v>
      </x:c>
      <x:c r="V23" s="4" t="n">
        <x:f>IFERROR(0+(V18),"待填")</x:f>
        <x:v>0</x:v>
      </x:c>
      <x:c r="W23" s="4" t="n">
        <x:f>IFERROR(0+(W18),"待填")</x:f>
        <x:v>0</x:v>
      </x:c>
    </x:row>
    <x:row r="24" ht="15.5" customHeight="1">
      <x:c r="A24" s="2"/>
      <x:c r="B24" s="2" t="str">
        <x:v>转入无形资产</x:v>
      </x:c>
      <x:c r="C24" s="6" t="str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 t="n">
        <x:f>IFERROR(0+(MIN(U22+U23,(U22+0*U23)*U31)),"待填")</x:f>
        <x:v>0</x:v>
      </x:c>
      <x:c r="V24" s="4" t="n">
        <x:f>IFERROR(0+(MIN(V22+V23,(V22+0*V23)*V31)),"待填")</x:f>
        <x:v>0</x:v>
      </x:c>
      <x:c r="W24" s="4" t="n">
        <x:f>IFERROR(0+(MIN(W22+W23,(W22+0*W23)*W31)),"待填")</x:f>
        <x:v>0</x:v>
      </x:c>
    </x:row>
    <x:row r="25" ht="15.5" customHeight="1">
      <x:c r="A25" s="2"/>
      <x:c r="B25" s="2" t="str">
        <x:v>计入损益转出</x:v>
      </x:c>
      <x:c r="C25" s="6" t="str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 t="n">
        <x:f>IFERROR(0+(0),"待填")</x:f>
        <x:v>0</x:v>
      </x:c>
      <x:c r="V25" s="4" t="n">
        <x:f>IFERROR(0+(0),"待填")</x:f>
        <x:v>0</x:v>
      </x:c>
      <x:c r="W25" s="4" t="n">
        <x:f>IFERROR(0+(0),"待填")</x:f>
        <x:v>0</x:v>
      </x:c>
    </x:row>
    <x:row r="26" ht="15.5" customHeight="1">
      <x:c r="A26" s="2"/>
      <x:c r="B26" s="2" t="str">
        <x:v>期末开发支出</x:v>
      </x:c>
      <x:c r="C26" s="6" t="str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 t="n">
        <x:f>IFERROR(0+(U22+U23-U24-U25),"待填")</x:f>
        <x:v>0</x:v>
      </x:c>
      <x:c r="V26" s="4" t="n">
        <x:f>IFERROR(0+(V22+V23-V24-V25),"待填")</x:f>
        <x:v>0</x:v>
      </x:c>
      <x:c r="W26" s="4" t="n">
        <x:f>IFERROR(0+(W22+W23-W24-W25),"待填")</x:f>
        <x:v>0</x:v>
      </x:c>
    </x:row>
    <x:row r="27" ht="15.5" customHeight="1">
      <x:c r="A27" s="2"/>
      <x:c r="B27" s="29" t="str">
        <x:v>开发支出滚动校验</x:v>
      </x:c>
      <x:c r="C27" s="32" t="str"/>
      <x:c r="D27" s="33" t="n">
        <x:f>IFERROR(0+(D22+D23-D24-D25-D26),"待填")</x:f>
        <x:v>0</x:v>
      </x:c>
      <x:c r="E27" s="33" t="n">
        <x:f>IFERROR(0+(E22+E23-E24-E25-E26),"待填")</x:f>
        <x:v>0</x:v>
      </x:c>
      <x:c r="F27" s="33" t="n">
        <x:f>IFERROR(0+(F22+F23-F24-F25-F26),"待填")</x:f>
        <x:v>0</x:v>
      </x:c>
      <x:c r="G27" s="33" t="n">
        <x:f>IFERROR(0+(G22+G23-G24-G25-G26),"待填")</x:f>
        <x:v>0</x:v>
      </x:c>
      <x:c r="H27" s="33" t="n">
        <x:f>IFERROR(0+(H22+H23-H24-H25-H26),"待填")</x:f>
        <x:v>0</x:v>
      </x:c>
      <x:c r="I27" s="33" t="n">
        <x:f>IFERROR(0+(I22+I23-I24-I25-I26),"待填")</x:f>
        <x:v>0</x:v>
      </x:c>
      <x:c r="J27" s="33" t="n">
        <x:f>IFERROR(0+(J22+J23-J24-J25-J26),"待填")</x:f>
        <x:v>0</x:v>
      </x:c>
      <x:c r="K27" s="33" t="n">
        <x:f>IFERROR(0+(K22+K23-K24-K25-K26),"待填")</x:f>
        <x:v>0</x:v>
      </x:c>
      <x:c r="L27" s="33" t="n">
        <x:f>IFERROR(0+(L22+L23-L24-L25-L26),"待填")</x:f>
        <x:v>0</x:v>
      </x:c>
      <x:c r="M27" s="33" t="n">
        <x:f>IFERROR(0+(M22+M23-M24-M25-M26),"待填")</x:f>
        <x:v>0</x:v>
      </x:c>
      <x:c r="N27" s="33" t="n">
        <x:f>IFERROR(0+(N22+N23-N24-N25-N26),"待填")</x:f>
        <x:v>0</x:v>
      </x:c>
      <x:c r="O27" s="33" t="n">
        <x:f>IFERROR(0+(O22+O23-O24-O25-O26),"待填")</x:f>
        <x:v>0</x:v>
      </x:c>
      <x:c r="P27" s="33" t="n">
        <x:f>IFERROR(0+(P22+P23-P24-P25-P26),"待填")</x:f>
        <x:v>0</x:v>
      </x:c>
      <x:c r="Q27" s="33" t="n">
        <x:f>IFERROR(0+(Q22+Q23-Q24-Q25-Q26),"待填")</x:f>
        <x:v>0</x:v>
      </x:c>
      <x:c r="R27" s="33" t="n">
        <x:f>IFERROR(0+(R22+R23-R24-R25-R26),"待填")</x:f>
        <x:v>0</x:v>
      </x:c>
      <x:c r="S27" s="33" t="n">
        <x:f>IFERROR(0+(S22+S23-S24-S25-S26),"待填")</x:f>
        <x:v>0</x:v>
      </x:c>
      <x:c r="T27" s="33" t="n">
        <x:f>IFERROR(0+(T22+T23-T24-T25-T26),"待填")</x:f>
        <x:v>0</x:v>
      </x:c>
      <x:c r="U27" s="33" t="n">
        <x:f>IFERROR(0+(U22+U23-U24-U25-U26),"待填")</x:f>
        <x:v>0</x:v>
      </x:c>
      <x:c r="V27" s="33" t="n">
        <x:f>IFERROR(0+(V22+V23-V24-V25-V26),"待填")</x:f>
        <x:v>0</x:v>
      </x:c>
      <x:c r="W27" s="33" t="n">
        <x:f>IFERROR(0+(W22+W23-W24-W25-W26),"待填")</x:f>
        <x:v>0</x:v>
      </x:c>
    </x:row>
    <x:row r="28" ht="21" customHeight="1">
      <x:c r="A28" s="2"/>
      <x:c r="B28" s="25" t="str">
        <x:v>四、预测假设</x:v>
      </x:c>
      <x:c r="C28" s="26" t="str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</x:row>
    <x:row r="29" ht="15.5" customHeight="1">
      <x:c r="A29" s="2"/>
      <x:c r="B29" s="77" t="str">
        <x:v>研发投入增长率</x:v>
      </x:c>
      <x:c r="C29" s="86" t="str">
        <x:v>2024—2025 年投入增速平均</x:v>
      </x:c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 ht="15.5" customHeight="1">
      <x:c r="A30" s="2"/>
      <x:c r="B30" s="77" t="str">
        <x:v>资本化率假设</x:v>
      </x:c>
      <x:c r="C30" s="86" t="str">
        <x:v>2015—2025 年已披露资本化率均为零</x:v>
      </x:c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 ht="15.5" customHeight="1">
      <x:c r="A31" s="2"/>
      <x:c r="B31" s="77" t="str">
        <x:v>开发支出转入率假设</x:v>
      </x:c>
      <x:c r="C31" s="86" t="str">
        <x:v>无历史池；新增按半年约定转入，可调整</x:v>
      </x:c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 ht="25" customHeight="1">
      <x:c r="A32" s="2"/>
      <x:c r="B32" s="35" t="str">
        <x:v>【待补说明】填写该公司的口径、特殊事项和预测假设。</x:v>
      </x:c>
      <x:c r="C32" s="35" t="str">
        <x:v>【待补说明】填写该公司的口径、特殊事项和预测假设。</x:v>
      </x:c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</x:row>
    <x:row r="33" ht="25" customHeight="1">
      <x:c r="A33" s="2"/>
      <x:c r="B33" s="35" t="str">
        <x:v>【待补说明】填写该公司的口径、特殊事项和预测假设。</x:v>
      </x:c>
      <x:c r="C33" s="35" t="str">
        <x:v>【待补说明】填写该公司的口径、特殊事项和预测假设。</x:v>
      </x:c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</x:row>
    <x:row r="34" ht="25" customHeight="1">
      <x:c r="A34" s="2"/>
      <x:c r="B34" s="35" t="str">
        <x:v>【待补说明】填写该公司的口径、特殊事项和预测假设。</x:v>
      </x:c>
      <x:c r="C34" s="35" t="str">
        <x:v>【待补说明】填写该公司的口径、特殊事项和预测假设。</x:v>
      </x:c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</x:row>
  </x:sheetData>
  <x:mergeCells>
    <x:mergeCell ref="B1:W1"/>
    <x:mergeCell ref="B2:W2"/>
    <x:mergeCell ref="B3:W3"/>
    <x:mergeCell ref="B32:W32"/>
    <x:mergeCell ref="B33:W33"/>
    <x:mergeCell ref="B34:W34"/>
  </x:mergeCells>
  <x:conditionalFormatting sqref="D15:W15">
    <x:cfRule type="expression" dxfId="58" priority="1">
      <x:formula>AND(ISNUMBER(D15),ABS(D15)&gt;0.02)</x:formula>
    </x:cfRule>
  </x:conditionalFormatting>
  <x:conditionalFormatting sqref="D19:W19">
    <x:cfRule type="expression" dxfId="59" priority="2">
      <x:formula>AND(ISNUMBER(D19),ABS(D19)&gt;0.02)</x:formula>
    </x:cfRule>
  </x:conditionalFormatting>
  <x:conditionalFormatting sqref="D27:W27">
    <x:cfRule type="expression" dxfId="60" priority="3">
      <x:formula>AND(ISNUMBER(D27),ABS(D27)&gt;0.02)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65F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2" max="2" width="14.65999984741211" hidden="0" customWidth="1"/>
    <x:col min="3" max="3" width="14.65999984741211" hidden="0" customWidth="1"/>
    <x:col min="4" max="4" width="14.65999984741211" hidden="0" customWidth="1"/>
    <x:col min="5" max="5" width="14.65999984741211" hidden="0" customWidth="1"/>
    <x:col min="6" max="6" width="14.65999984741211" hidden="0" customWidth="1"/>
    <x:col min="7" max="7" width="14.65999984741211" hidden="0" customWidth="1"/>
    <x:col min="8" max="8" width="14.65999984741211" hidden="0" customWidth="1"/>
    <x:col min="9" max="9" width="14.65999984741211" hidden="0" customWidth="1"/>
    <x:col min="10" max="10" width="14.65999984741211" hidden="0" customWidth="1"/>
    <x:col min="11" max="11" width="14.65999984741211" hidden="0" customWidth="1"/>
    <x:col min="12" max="12" width="14.65999984741211" hidden="0" customWidth="1"/>
    <x:col min="13" max="13" width="14.65999984741211" hidden="0" customWidth="1"/>
    <x:col min="14" max="14" width="14.65999984741211" hidden="0" customWidth="1"/>
    <x:col min="15" max="15" width="14.65999984741211" hidden="0" customWidth="1"/>
    <x:col min="16" max="16" width="14.65999984741211" hidden="0" customWidth="1"/>
    <x:col min="17" max="17" width="14.65999984741211" hidden="0" customWidth="1"/>
    <x:col min="1" max="1" width="45" hidden="0" customWidth="1"/>
  </x:cols>
  <x:sheetData>
    <x:row r="1" ht="36" customHeight="1">
      <x:c r="A1" s="94" t="str">
        <x:v>示例公司 政府补助全景分析（2010—2025）</x:v>
      </x:c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</x:row>
    <x:row r="2" ht="17" customHeight="1">
      <x:c r="A2" s="10" t="str">
        <x:v>表达模板；金额与人数单位按各表说明；填入原始年报数据后使用。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15.5" customHeight="1">
      <x:c r="A3" s="2" t="str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96" t="str">
        <x:v>▎核心指标汇总（亿元）</x:v>
      </x:c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  <x:c r="Q4" s="97"/>
    </x:row>
    <x:row r="5" ht="22" customHeight="1">
      <x:c r="A5" s="19" t="str">
        <x:v>项目</x:v>
      </x:c>
      <x:c r="B5" s="103" t="n">
        <x:v>2010</x:v>
      </x:c>
      <x:c r="C5" s="103" t="n">
        <x:v>2011</x:v>
      </x:c>
      <x:c r="D5" s="103" t="n">
        <x:v>2012</x:v>
      </x:c>
      <x:c r="E5" s="103" t="n">
        <x:v>2013</x:v>
      </x:c>
      <x:c r="F5" s="103" t="n">
        <x:v>2014</x:v>
      </x:c>
      <x:c r="G5" s="103" t="n">
        <x:v>2015</x:v>
      </x:c>
      <x:c r="H5" s="103" t="n">
        <x:v>2016</x:v>
      </x:c>
      <x:c r="I5" s="103" t="n">
        <x:v>2017</x:v>
      </x:c>
      <x:c r="J5" s="103" t="n">
        <x:v>2018</x:v>
      </x:c>
      <x:c r="K5" s="103" t="n">
        <x:v>2019</x:v>
      </x:c>
      <x:c r="L5" s="103" t="n">
        <x:v>2020</x:v>
      </x:c>
      <x:c r="M5" s="103" t="n">
        <x:v>2021</x:v>
      </x:c>
      <x:c r="N5" s="103" t="n">
        <x:v>2022</x:v>
      </x:c>
      <x:c r="O5" s="103" t="n">
        <x:v>2023</x:v>
      </x:c>
      <x:c r="P5" s="103" t="n">
        <x:v>2024</x:v>
      </x:c>
      <x:c r="Q5" s="103" t="n">
        <x:v>2025</x:v>
      </x:c>
    </x:row>
    <x:row r="6" ht="15.5" customHeight="1">
      <x:c r="A6" s="100" t="str">
        <x:v>其他收益合计</x:v>
      </x:c>
      <x:c r="B6" s="104" t="str">
        <x:f>IFERROR(0+(IF(ISNUMBER(B26),B26/100000,"未单列")),"待填")</x:f>
        <x:v>待填</x:v>
      </x:c>
      <x:c r="C6" s="104" t="str">
        <x:f>IFERROR(0+(IF(ISNUMBER(C26),C26/100000,"未单列")),"待填")</x:f>
        <x:v>待填</x:v>
      </x:c>
      <x:c r="D6" s="104" t="str">
        <x:f>IFERROR(0+(IF(ISNUMBER(D26),D26/100000,"未单列")),"待填")</x:f>
        <x:v>待填</x:v>
      </x:c>
      <x:c r="E6" s="104" t="str">
        <x:f>IFERROR(0+(IF(ISNUMBER(E26),E26/100000,"未单列")),"待填")</x:f>
        <x:v>待填</x:v>
      </x:c>
      <x:c r="F6" s="104" t="str">
        <x:f>IFERROR(0+(IF(ISNUMBER(F26),F26/100000,"未单列")),"待填")</x:f>
        <x:v>待填</x:v>
      </x:c>
      <x:c r="G6" s="104" t="str">
        <x:f>IFERROR(0+(IF(ISNUMBER(G26),G26/100000,"未单列")),"待填")</x:f>
        <x:v>待填</x:v>
      </x:c>
      <x:c r="H6" s="104" t="str">
        <x:f>IFERROR(0+(IF(ISNUMBER(H26),H26/100000,"未单列")),"待填")</x:f>
        <x:v>待填</x:v>
      </x:c>
      <x:c r="I6" s="104" t="str">
        <x:f>IFERROR(0+(IF(ISNUMBER(I26),I26/100000,"未单列")),"待填")</x:f>
        <x:v>待填</x:v>
      </x:c>
      <x:c r="J6" s="104" t="str">
        <x:f>IFERROR(0+(IF(ISNUMBER(J26),J26/100000,"未单列")),"待填")</x:f>
        <x:v>待填</x:v>
      </x:c>
      <x:c r="K6" s="104" t="str">
        <x:f>IFERROR(0+(IF(ISNUMBER(K26),K26/100000,"未单列")),"待填")</x:f>
        <x:v>待填</x:v>
      </x:c>
      <x:c r="L6" s="104" t="str">
        <x:f>IFERROR(0+(IF(ISNUMBER(L26),L26/100000,"未单列")),"待填")</x:f>
        <x:v>待填</x:v>
      </x:c>
      <x:c r="M6" s="104" t="str">
        <x:f>IFERROR(0+(IF(ISNUMBER(M26),M26/100000,"未单列")),"待填")</x:f>
        <x:v>待填</x:v>
      </x:c>
      <x:c r="N6" s="104" t="str">
        <x:f>IFERROR(0+(IF(ISNUMBER(N26),N26/100000,"未单列")),"待填")</x:f>
        <x:v>待填</x:v>
      </x:c>
      <x:c r="O6" s="104" t="str">
        <x:f>IFERROR(0+(IF(ISNUMBER(O26),O26/100000,"未单列")),"待填")</x:f>
        <x:v>待填</x:v>
      </x:c>
      <x:c r="P6" s="104" t="str">
        <x:f>IFERROR(0+(IF(ISNUMBER(P26),P26/100000,"未单列")),"待填")</x:f>
        <x:v>待填</x:v>
      </x:c>
      <x:c r="Q6" s="104" t="str">
        <x:f>IFERROR(0+(IF(ISNUMBER(Q26),Q26/100000,"未单列")),"待填")</x:f>
        <x:v>待填</x:v>
      </x:c>
    </x:row>
    <x:row r="7" ht="15.5" customHeight="1">
      <x:c r="A7" s="2" t="str">
        <x:v>  其中：政府补助</x:v>
      </x:c>
      <x:c r="B7" s="105" t="n">
        <x:f>IFERROR(0+((B22+B23)/100000),"待填")</x:f>
        <x:v>0</x:v>
      </x:c>
      <x:c r="C7" s="105" t="n">
        <x:f>IFERROR(0+((C22+C23)/100000),"待填")</x:f>
        <x:v>0</x:v>
      </x:c>
      <x:c r="D7" s="105" t="n">
        <x:f>IFERROR(0+((D22+D23)/100000),"待填")</x:f>
        <x:v>0</x:v>
      </x:c>
      <x:c r="E7" s="105" t="n">
        <x:f>IFERROR(0+((E22+E23)/100000),"待填")</x:f>
        <x:v>0</x:v>
      </x:c>
      <x:c r="F7" s="105" t="n">
        <x:f>IFERROR(0+((F22+F23)/100000),"待填")</x:f>
        <x:v>0</x:v>
      </x:c>
      <x:c r="G7" s="105" t="n">
        <x:f>IFERROR(0+((G22+G23)/100000),"待填")</x:f>
        <x:v>0</x:v>
      </x:c>
      <x:c r="H7" s="105" t="n">
        <x:f>IFERROR(0+((H22+H23)/100000),"待填")</x:f>
        <x:v>0</x:v>
      </x:c>
      <x:c r="I7" s="105" t="n">
        <x:f>IFERROR(0+((I22+I23)/100000),"待填")</x:f>
        <x:v>0</x:v>
      </x:c>
      <x:c r="J7" s="105" t="n">
        <x:f>IFERROR(0+((J22+J23)/100000),"待填")</x:f>
        <x:v>0</x:v>
      </x:c>
      <x:c r="K7" s="105" t="n">
        <x:f>IFERROR(0+((K22+K23)/100000),"待填")</x:f>
        <x:v>0</x:v>
      </x:c>
      <x:c r="L7" s="105" t="n">
        <x:f>IFERROR(0+((L22+L23)/100000),"待填")</x:f>
        <x:v>0</x:v>
      </x:c>
      <x:c r="M7" s="105" t="n">
        <x:f>IFERROR(0+((M22+M23)/100000),"待填")</x:f>
        <x:v>0</x:v>
      </x:c>
      <x:c r="N7" s="105" t="n">
        <x:f>IFERROR(0+((N22+N23)/100000),"待填")</x:f>
        <x:v>0</x:v>
      </x:c>
      <x:c r="O7" s="105" t="n">
        <x:f>IFERROR(0+((O22+O23)/100000),"待填")</x:f>
        <x:v>0</x:v>
      </x:c>
      <x:c r="P7" s="105" t="n">
        <x:f>IFERROR(0+((P22+P23)/100000),"待填")</x:f>
        <x:v>0</x:v>
      </x:c>
      <x:c r="Q7" s="105" t="n">
        <x:f>IFERROR(0+((Q22+Q23)/100000),"待填")</x:f>
        <x:v>0</x:v>
      </x:c>
    </x:row>
    <x:row r="8" ht="15.5" customHeight="1">
      <x:c r="A8" s="2" t="str">
        <x:v>  其中：增值税加计抵减、手续费等</x:v>
      </x:c>
      <x:c r="B8" s="105" t="n">
        <x:f>IFERROR(0+((B24+B25)/100000),"待填")</x:f>
        <x:v>0</x:v>
      </x:c>
      <x:c r="C8" s="105" t="n">
        <x:f>IFERROR(0+((C24+C25)/100000),"待填")</x:f>
        <x:v>0</x:v>
      </x:c>
      <x:c r="D8" s="105" t="n">
        <x:f>IFERROR(0+((D24+D25)/100000),"待填")</x:f>
        <x:v>0</x:v>
      </x:c>
      <x:c r="E8" s="105" t="n">
        <x:f>IFERROR(0+((E24+E25)/100000),"待填")</x:f>
        <x:v>0</x:v>
      </x:c>
      <x:c r="F8" s="105" t="n">
        <x:f>IFERROR(0+((F24+F25)/100000),"待填")</x:f>
        <x:v>0</x:v>
      </x:c>
      <x:c r="G8" s="105" t="n">
        <x:f>IFERROR(0+((G24+G25)/100000),"待填")</x:f>
        <x:v>0</x:v>
      </x:c>
      <x:c r="H8" s="105" t="n">
        <x:f>IFERROR(0+((H24+H25)/100000),"待填")</x:f>
        <x:v>0</x:v>
      </x:c>
      <x:c r="I8" s="105" t="n">
        <x:f>IFERROR(0+((I24+I25)/100000),"待填")</x:f>
        <x:v>0</x:v>
      </x:c>
      <x:c r="J8" s="105" t="n">
        <x:f>IFERROR(0+((J24+J25)/100000),"待填")</x:f>
        <x:v>0</x:v>
      </x:c>
      <x:c r="K8" s="105" t="n">
        <x:f>IFERROR(0+((K24+K25)/100000),"待填")</x:f>
        <x:v>0</x:v>
      </x:c>
      <x:c r="L8" s="105" t="n">
        <x:f>IFERROR(0+((L24+L25)/100000),"待填")</x:f>
        <x:v>0</x:v>
      </x:c>
      <x:c r="M8" s="105" t="n">
        <x:f>IFERROR(0+((M24+M25)/100000),"待填")</x:f>
        <x:v>0</x:v>
      </x:c>
      <x:c r="N8" s="105" t="n">
        <x:f>IFERROR(0+((N24+N25)/100000),"待填")</x:f>
        <x:v>0</x:v>
      </x:c>
      <x:c r="O8" s="105" t="n">
        <x:f>IFERROR(0+((O24+O25)/100000),"待填")</x:f>
        <x:v>0</x:v>
      </x:c>
      <x:c r="P8" s="105" t="n">
        <x:f>IFERROR(0+((P24+P25)/100000),"待填")</x:f>
        <x:v>0</x:v>
      </x:c>
      <x:c r="Q8" s="105" t="n">
        <x:f>IFERROR(0+((Q24+Q25)/100000),"待填")</x:f>
        <x:v>0</x:v>
      </x:c>
    </x:row>
    <x:row r="9" ht="15.5" customHeight="1">
      <x:c r="A9" s="2" t="str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15.5" customHeight="1">
      <x:c r="A10" s="100" t="str">
        <x:v>计入当期损益的政府补助</x:v>
      </x:c>
      <x:c r="B10" s="104" t="n">
        <x:f>IFERROR(0+(IF(ISNUMBER(B34),B34/100000,"未单列")),"待填")</x:f>
        <x:v>0</x:v>
      </x:c>
      <x:c r="C10" s="104" t="n">
        <x:f>IFERROR(0+(IF(ISNUMBER(C34),C34/100000,"未单列")),"待填")</x:f>
        <x:v>0</x:v>
      </x:c>
      <x:c r="D10" s="104" t="n">
        <x:f>IFERROR(0+(IF(ISNUMBER(D34),D34/100000,"未单列")),"待填")</x:f>
        <x:v>0</x:v>
      </x:c>
      <x:c r="E10" s="104" t="n">
        <x:f>IFERROR(0+(IF(ISNUMBER(E34),E34/100000,"未单列")),"待填")</x:f>
        <x:v>0</x:v>
      </x:c>
      <x:c r="F10" s="104" t="n">
        <x:f>IFERROR(0+(IF(ISNUMBER(F34),F34/100000,"未单列")),"待填")</x:f>
        <x:v>0</x:v>
      </x:c>
      <x:c r="G10" s="104" t="n">
        <x:f>IFERROR(0+(IF(ISNUMBER(G34),G34/100000,"未单列")),"待填")</x:f>
        <x:v>0</x:v>
      </x:c>
      <x:c r="H10" s="104" t="n">
        <x:f>IFERROR(0+(IF(ISNUMBER(H34),H34/100000,"未单列")),"待填")</x:f>
        <x:v>0</x:v>
      </x:c>
      <x:c r="I10" s="104" t="n">
        <x:f>IFERROR(0+(IF(ISNUMBER(I34),I34/100000,"未单列")),"待填")</x:f>
        <x:v>0</x:v>
      </x:c>
      <x:c r="J10" s="104" t="n">
        <x:f>IFERROR(0+(IF(ISNUMBER(J34),J34/100000,"未单列")),"待填")</x:f>
        <x:v>0</x:v>
      </x:c>
      <x:c r="K10" s="104" t="n">
        <x:f>IFERROR(0+(IF(ISNUMBER(K34),K34/100000,"未单列")),"待填")</x:f>
        <x:v>0</x:v>
      </x:c>
      <x:c r="L10" s="104" t="n">
        <x:f>IFERROR(0+(IF(ISNUMBER(L34),L34/100000,"未单列")),"待填")</x:f>
        <x:v>0</x:v>
      </x:c>
      <x:c r="M10" s="104" t="n">
        <x:f>IFERROR(0+(IF(ISNUMBER(M34),M34/100000,"未单列")),"待填")</x:f>
        <x:v>0</x:v>
      </x:c>
      <x:c r="N10" s="104" t="n">
        <x:f>IFERROR(0+(IF(ISNUMBER(N34),N34/100000,"未单列")),"待填")</x:f>
        <x:v>0</x:v>
      </x:c>
      <x:c r="O10" s="104" t="n">
        <x:f>IFERROR(0+(IF(ISNUMBER(O34),O34/100000,"未单列")),"待填")</x:f>
        <x:v>0</x:v>
      </x:c>
      <x:c r="P10" s="104" t="n">
        <x:f>IFERROR(0+(IF(ISNUMBER(P34),P34/100000,"未单列")),"待填")</x:f>
        <x:v>0</x:v>
      </x:c>
      <x:c r="Q10" s="104" t="n">
        <x:f>IFERROR(0+(IF(ISNUMBER(Q34),Q34/100000,"未单列")),"待填")</x:f>
        <x:v>0</x:v>
      </x:c>
    </x:row>
    <x:row r="11" ht="15.5" customHeight="1">
      <x:c r="A11" s="2" t="str">
        <x:v>  经常性政府补助</x:v>
      </x:c>
      <x:c r="B11" s="105" t="n">
        <x:f>IFERROR(0+(B48/100000),"待填")</x:f>
        <x:v>0</x:v>
      </x:c>
      <x:c r="C11" s="105" t="n">
        <x:f>IFERROR(0+(C48/100000),"待填")</x:f>
        <x:v>0</x:v>
      </x:c>
      <x:c r="D11" s="105" t="n">
        <x:f>IFERROR(0+(D48/100000),"待填")</x:f>
        <x:v>0</x:v>
      </x:c>
      <x:c r="E11" s="105" t="n">
        <x:f>IFERROR(0+(E48/100000),"待填")</x:f>
        <x:v>0</x:v>
      </x:c>
      <x:c r="F11" s="105" t="n">
        <x:f>IFERROR(0+(F48/100000),"待填")</x:f>
        <x:v>0</x:v>
      </x:c>
      <x:c r="G11" s="105" t="n">
        <x:f>IFERROR(0+(G48/100000),"待填")</x:f>
        <x:v>0</x:v>
      </x:c>
      <x:c r="H11" s="105" t="n">
        <x:f>IFERROR(0+(H48/100000),"待填")</x:f>
        <x:v>0</x:v>
      </x:c>
      <x:c r="I11" s="105" t="n">
        <x:f>IFERROR(0+(I48/100000),"待填")</x:f>
        <x:v>0</x:v>
      </x:c>
      <x:c r="J11" s="105" t="n">
        <x:f>IFERROR(0+(J48/100000),"待填")</x:f>
        <x:v>0</x:v>
      </x:c>
      <x:c r="K11" s="105" t="n">
        <x:f>IFERROR(0+(K48/100000),"待填")</x:f>
        <x:v>0</x:v>
      </x:c>
      <x:c r="L11" s="105" t="n">
        <x:f>IFERROR(0+(L48/100000),"待填")</x:f>
        <x:v>0</x:v>
      </x:c>
      <x:c r="M11" s="105" t="n">
        <x:f>IFERROR(0+(M48/100000),"待填")</x:f>
        <x:v>0</x:v>
      </x:c>
      <x:c r="N11" s="105" t="n">
        <x:f>IFERROR(0+(N48/100000),"待填")</x:f>
        <x:v>0</x:v>
      </x:c>
      <x:c r="O11" s="105" t="n">
        <x:f>IFERROR(0+(O48/100000),"待填")</x:f>
        <x:v>0</x:v>
      </x:c>
      <x:c r="P11" s="105" t="n">
        <x:f>IFERROR(0+(P48/100000),"待填")</x:f>
        <x:v>0</x:v>
      </x:c>
      <x:c r="Q11" s="105" t="n">
        <x:f>IFERROR(0+(Q48/100000),"待填")</x:f>
        <x:v>0</x:v>
      </x:c>
    </x:row>
    <x:row r="12" ht="15.5" customHeight="1">
      <x:c r="A12" s="2" t="str">
        <x:v>  非经常性政府补助</x:v>
      </x:c>
      <x:c r="B12" s="105" t="n">
        <x:f>IFERROR(0+(B47/100000),"待填")</x:f>
        <x:v>0</x:v>
      </x:c>
      <x:c r="C12" s="105" t="n">
        <x:f>IFERROR(0+(C47/100000),"待填")</x:f>
        <x:v>0</x:v>
      </x:c>
      <x:c r="D12" s="105" t="n">
        <x:f>IFERROR(0+(D47/100000),"待填")</x:f>
        <x:v>0</x:v>
      </x:c>
      <x:c r="E12" s="105" t="n">
        <x:f>IFERROR(0+(E47/100000),"待填")</x:f>
        <x:v>0</x:v>
      </x:c>
      <x:c r="F12" s="105" t="n">
        <x:f>IFERROR(0+(F47/100000),"待填")</x:f>
        <x:v>0</x:v>
      </x:c>
      <x:c r="G12" s="105" t="n">
        <x:f>IFERROR(0+(G47/100000),"待填")</x:f>
        <x:v>0</x:v>
      </x:c>
      <x:c r="H12" s="105" t="n">
        <x:f>IFERROR(0+(H47/100000),"待填")</x:f>
        <x:v>0</x:v>
      </x:c>
      <x:c r="I12" s="105" t="n">
        <x:f>IFERROR(0+(I47/100000),"待填")</x:f>
        <x:v>0</x:v>
      </x:c>
      <x:c r="J12" s="105" t="n">
        <x:f>IFERROR(0+(J47/100000),"待填")</x:f>
        <x:v>0</x:v>
      </x:c>
      <x:c r="K12" s="105" t="n">
        <x:f>IFERROR(0+(K47/100000),"待填")</x:f>
        <x:v>0</x:v>
      </x:c>
      <x:c r="L12" s="105" t="n">
        <x:f>IFERROR(0+(L47/100000),"待填")</x:f>
        <x:v>0</x:v>
      </x:c>
      <x:c r="M12" s="105" t="n">
        <x:f>IFERROR(0+(M47/100000),"待填")</x:f>
        <x:v>0</x:v>
      </x:c>
      <x:c r="N12" s="105" t="n">
        <x:f>IFERROR(0+(N47/100000),"待填")</x:f>
        <x:v>0</x:v>
      </x:c>
      <x:c r="O12" s="105" t="n">
        <x:f>IFERROR(0+(O47/100000),"待填")</x:f>
        <x:v>0</x:v>
      </x:c>
      <x:c r="P12" s="105" t="n">
        <x:f>IFERROR(0+(P47/100000),"待填")</x:f>
        <x:v>0</x:v>
      </x:c>
      <x:c r="Q12" s="105" t="n">
        <x:f>IFERROR(0+(Q47/100000),"待填")</x:f>
        <x:v>0</x:v>
      </x:c>
    </x:row>
    <x:row r="13" ht="15.5" customHeight="1">
      <x:c r="A13" s="2" t="str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15.5" customHeight="1">
      <x:c r="A14" s="100" t="str">
        <x:v>政府补助递延收益期末</x:v>
      </x:c>
      <x:c r="B14" s="104" t="str">
        <x:f>IFERROR(0+(IF(ISNUMBER(B41),B41/100000,"未单列")),"待填")</x:f>
        <x:v>待填</x:v>
      </x:c>
      <x:c r="C14" s="104" t="str">
        <x:f>IFERROR(0+(IF(ISNUMBER(C41),C41/100000,"未单列")),"待填")</x:f>
        <x:v>待填</x:v>
      </x:c>
      <x:c r="D14" s="104" t="str">
        <x:f>IFERROR(0+(IF(ISNUMBER(D41),D41/100000,"未单列")),"待填")</x:f>
        <x:v>待填</x:v>
      </x:c>
      <x:c r="E14" s="104" t="str">
        <x:f>IFERROR(0+(IF(ISNUMBER(E41),E41/100000,"未单列")),"待填")</x:f>
        <x:v>待填</x:v>
      </x:c>
      <x:c r="F14" s="104" t="str">
        <x:f>IFERROR(0+(IF(ISNUMBER(F41),F41/100000,"未单列")),"待填")</x:f>
        <x:v>待填</x:v>
      </x:c>
      <x:c r="G14" s="104" t="str">
        <x:f>IFERROR(0+(IF(ISNUMBER(G41),G41/100000,"未单列")),"待填")</x:f>
        <x:v>待填</x:v>
      </x:c>
      <x:c r="H14" s="104" t="str">
        <x:f>IFERROR(0+(IF(ISNUMBER(H41),H41/100000,"未单列")),"待填")</x:f>
        <x:v>待填</x:v>
      </x:c>
      <x:c r="I14" s="104" t="str">
        <x:f>IFERROR(0+(IF(ISNUMBER(I41),I41/100000,"未单列")),"待填")</x:f>
        <x:v>待填</x:v>
      </x:c>
      <x:c r="J14" s="104" t="str">
        <x:f>IFERROR(0+(IF(ISNUMBER(J41),J41/100000,"未单列")),"待填")</x:f>
        <x:v>待填</x:v>
      </x:c>
      <x:c r="K14" s="104" t="str">
        <x:f>IFERROR(0+(IF(ISNUMBER(K41),K41/100000,"未单列")),"待填")</x:f>
        <x:v>待填</x:v>
      </x:c>
      <x:c r="L14" s="104" t="str">
        <x:f>IFERROR(0+(IF(ISNUMBER(L41),L41/100000,"未单列")),"待填")</x:f>
        <x:v>待填</x:v>
      </x:c>
      <x:c r="M14" s="104" t="str">
        <x:f>IFERROR(0+(IF(ISNUMBER(M41),M41/100000,"未单列")),"待填")</x:f>
        <x:v>待填</x:v>
      </x:c>
      <x:c r="N14" s="104" t="str">
        <x:f>IFERROR(0+(IF(ISNUMBER(N41),N41/100000,"未单列")),"待填")</x:f>
        <x:v>待填</x:v>
      </x:c>
      <x:c r="O14" s="104" t="str">
        <x:f>IFERROR(0+(IF(ISNUMBER(O41),O41/100000,"未单列")),"待填")</x:f>
        <x:v>待填</x:v>
      </x:c>
      <x:c r="P14" s="104" t="str">
        <x:f>IFERROR(0+(IF(ISNUMBER(P41),P41/100000,"未单列")),"待填")</x:f>
        <x:v>待填</x:v>
      </x:c>
      <x:c r="Q14" s="104" t="str">
        <x:f>IFERROR(0+(IF(ISNUMBER(Q41),Q41/100000,"未单列")),"待填")</x:f>
        <x:v>待填</x:v>
      </x:c>
    </x:row>
    <x:row r="15" ht="15.5" customHeight="1">
      <x:c r="A15" s="2" t="str">
        <x:v>  当年新增</x:v>
      </x:c>
      <x:c r="B15" s="105" t="str">
        <x:f>IFERROR(0+(IF(ISNUMBER(B39),B39/100000,"未单列")),"待填")</x:f>
        <x:v>待填</x:v>
      </x:c>
      <x:c r="C15" s="105" t="str">
        <x:f>IFERROR(0+(IF(ISNUMBER(C39),C39/100000,"未单列")),"待填")</x:f>
        <x:v>待填</x:v>
      </x:c>
      <x:c r="D15" s="105" t="str">
        <x:f>IFERROR(0+(IF(ISNUMBER(D39),D39/100000,"未单列")),"待填")</x:f>
        <x:v>待填</x:v>
      </x:c>
      <x:c r="E15" s="105" t="str">
        <x:f>IFERROR(0+(IF(ISNUMBER(E39),E39/100000,"未单列")),"待填")</x:f>
        <x:v>待填</x:v>
      </x:c>
      <x:c r="F15" s="105" t="str">
        <x:f>IFERROR(0+(IF(ISNUMBER(F39),F39/100000,"未单列")),"待填")</x:f>
        <x:v>待填</x:v>
      </x:c>
      <x:c r="G15" s="105" t="str">
        <x:f>IFERROR(0+(IF(ISNUMBER(G39),G39/100000,"未单列")),"待填")</x:f>
        <x:v>待填</x:v>
      </x:c>
      <x:c r="H15" s="105" t="str">
        <x:f>IFERROR(0+(IF(ISNUMBER(H39),H39/100000,"未单列")),"待填")</x:f>
        <x:v>待填</x:v>
      </x:c>
      <x:c r="I15" s="105" t="str">
        <x:f>IFERROR(0+(IF(ISNUMBER(I39),I39/100000,"未单列")),"待填")</x:f>
        <x:v>待填</x:v>
      </x:c>
      <x:c r="J15" s="105" t="str">
        <x:f>IFERROR(0+(IF(ISNUMBER(J39),J39/100000,"未单列")),"待填")</x:f>
        <x:v>待填</x:v>
      </x:c>
      <x:c r="K15" s="105" t="str">
        <x:f>IFERROR(0+(IF(ISNUMBER(K39),K39/100000,"未单列")),"待填")</x:f>
        <x:v>待填</x:v>
      </x:c>
      <x:c r="L15" s="105" t="str">
        <x:f>IFERROR(0+(IF(ISNUMBER(L39),L39/100000,"未单列")),"待填")</x:f>
        <x:v>待填</x:v>
      </x:c>
      <x:c r="M15" s="105" t="str">
        <x:f>IFERROR(0+(IF(ISNUMBER(M39),M39/100000,"未单列")),"待填")</x:f>
        <x:v>待填</x:v>
      </x:c>
      <x:c r="N15" s="105" t="str">
        <x:f>IFERROR(0+(IF(ISNUMBER(N39),N39/100000,"未单列")),"待填")</x:f>
        <x:v>待填</x:v>
      </x:c>
      <x:c r="O15" s="105" t="str">
        <x:f>IFERROR(0+(IF(ISNUMBER(O39),O39/100000,"未单列")),"待填")</x:f>
        <x:v>待填</x:v>
      </x:c>
      <x:c r="P15" s="105" t="str">
        <x:f>IFERROR(0+(IF(ISNUMBER(P39),P39/100000,"未单列")),"待填")</x:f>
        <x:v>待填</x:v>
      </x:c>
      <x:c r="Q15" s="105" t="str">
        <x:f>IFERROR(0+(IF(ISNUMBER(Q39),Q39/100000,"未单列")),"待填")</x:f>
        <x:v>待填</x:v>
      </x:c>
    </x:row>
    <x:row r="16" ht="15.5" customHeight="1">
      <x:c r="A16" s="2" t="str">
        <x:v>  当年转出（释放）</x:v>
      </x:c>
      <x:c r="B16" s="105" t="str">
        <x:f>IFERROR(0+(IF(ISNUMBER(B40),B40/100000,"未单列")),"待填")</x:f>
        <x:v>待填</x:v>
      </x:c>
      <x:c r="C16" s="105" t="str">
        <x:f>IFERROR(0+(IF(ISNUMBER(C40),C40/100000,"未单列")),"待填")</x:f>
        <x:v>待填</x:v>
      </x:c>
      <x:c r="D16" s="105" t="str">
        <x:f>IFERROR(0+(IF(ISNUMBER(D40),D40/100000,"未单列")),"待填")</x:f>
        <x:v>待填</x:v>
      </x:c>
      <x:c r="E16" s="105" t="str">
        <x:f>IFERROR(0+(IF(ISNUMBER(E40),E40/100000,"未单列")),"待填")</x:f>
        <x:v>待填</x:v>
      </x:c>
      <x:c r="F16" s="105" t="str">
        <x:f>IFERROR(0+(IF(ISNUMBER(F40),F40/100000,"未单列")),"待填")</x:f>
        <x:v>待填</x:v>
      </x:c>
      <x:c r="G16" s="105" t="str">
        <x:f>IFERROR(0+(IF(ISNUMBER(G40),G40/100000,"未单列")),"待填")</x:f>
        <x:v>待填</x:v>
      </x:c>
      <x:c r="H16" s="105" t="str">
        <x:f>IFERROR(0+(IF(ISNUMBER(H40),H40/100000,"未单列")),"待填")</x:f>
        <x:v>待填</x:v>
      </x:c>
      <x:c r="I16" s="105" t="str">
        <x:f>IFERROR(0+(IF(ISNUMBER(I40),I40/100000,"未单列")),"待填")</x:f>
        <x:v>待填</x:v>
      </x:c>
      <x:c r="J16" s="105" t="str">
        <x:f>IFERROR(0+(IF(ISNUMBER(J40),J40/100000,"未单列")),"待填")</x:f>
        <x:v>待填</x:v>
      </x:c>
      <x:c r="K16" s="105" t="str">
        <x:f>IFERROR(0+(IF(ISNUMBER(K40),K40/100000,"未单列")),"待填")</x:f>
        <x:v>待填</x:v>
      </x:c>
      <x:c r="L16" s="105" t="str">
        <x:f>IFERROR(0+(IF(ISNUMBER(L40),L40/100000,"未单列")),"待填")</x:f>
        <x:v>待填</x:v>
      </x:c>
      <x:c r="M16" s="105" t="str">
        <x:f>IFERROR(0+(IF(ISNUMBER(M40),M40/100000,"未单列")),"待填")</x:f>
        <x:v>待填</x:v>
      </x:c>
      <x:c r="N16" s="105" t="str">
        <x:f>IFERROR(0+(IF(ISNUMBER(N40),N40/100000,"未单列")),"待填")</x:f>
        <x:v>待填</x:v>
      </x:c>
      <x:c r="O16" s="105" t="str">
        <x:f>IFERROR(0+(IF(ISNUMBER(O40),O40/100000,"未单列")),"待填")</x:f>
        <x:v>待填</x:v>
      </x:c>
      <x:c r="P16" s="105" t="str">
        <x:f>IFERROR(0+(IF(ISNUMBER(P40),P40/100000,"未单列")),"待填")</x:f>
        <x:v>待填</x:v>
      </x:c>
      <x:c r="Q16" s="105" t="str">
        <x:f>IFERROR(0+(IF(ISNUMBER(Q40),Q40/100000,"未单列")),"待填")</x:f>
        <x:v>待填</x:v>
      </x:c>
    </x:row>
    <x:row r="17" ht="15.5" customHeight="1">
      <x:c r="A17" s="2" t="str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15.5" customHeight="1">
      <x:c r="A18" s="100" t="str">
        <x:v>收到政府补助现金</x:v>
      </x:c>
      <x:c r="B18" s="104" t="n">
        <x:f>IFERROR(0+(IF(ISNUMBER(B60),B60/100000,"未单列")),"待填")</x:f>
        <x:v>0</x:v>
      </x:c>
      <x:c r="C18" s="104" t="n">
        <x:f>IFERROR(0+(IF(ISNUMBER(C60),C60/100000,"未单列")),"待填")</x:f>
        <x:v>0</x:v>
      </x:c>
      <x:c r="D18" s="104" t="n">
        <x:f>IFERROR(0+(IF(ISNUMBER(D60),D60/100000,"未单列")),"待填")</x:f>
        <x:v>0</x:v>
      </x:c>
      <x:c r="E18" s="104" t="n">
        <x:f>IFERROR(0+(IF(ISNUMBER(E60),E60/100000,"未单列")),"待填")</x:f>
        <x:v>0</x:v>
      </x:c>
      <x:c r="F18" s="104" t="n">
        <x:f>IFERROR(0+(IF(ISNUMBER(F60),F60/100000,"未单列")),"待填")</x:f>
        <x:v>0</x:v>
      </x:c>
      <x:c r="G18" s="104" t="n">
        <x:f>IFERROR(0+(IF(ISNUMBER(G60),G60/100000,"未单列")),"待填")</x:f>
        <x:v>0</x:v>
      </x:c>
      <x:c r="H18" s="104" t="n">
        <x:f>IFERROR(0+(IF(ISNUMBER(H60),H60/100000,"未单列")),"待填")</x:f>
        <x:v>0</x:v>
      </x:c>
      <x:c r="I18" s="104" t="n">
        <x:f>IFERROR(0+(IF(ISNUMBER(I60),I60/100000,"未单列")),"待填")</x:f>
        <x:v>0</x:v>
      </x:c>
      <x:c r="J18" s="104" t="n">
        <x:f>IFERROR(0+(IF(ISNUMBER(J60),J60/100000,"未单列")),"待填")</x:f>
        <x:v>0</x:v>
      </x:c>
      <x:c r="K18" s="104" t="n">
        <x:f>IFERROR(0+(IF(ISNUMBER(K60),K60/100000,"未单列")),"待填")</x:f>
        <x:v>0</x:v>
      </x:c>
      <x:c r="L18" s="104" t="n">
        <x:f>IFERROR(0+(IF(ISNUMBER(L60),L60/100000,"未单列")),"待填")</x:f>
        <x:v>0</x:v>
      </x:c>
      <x:c r="M18" s="104" t="n">
        <x:f>IFERROR(0+(IF(ISNUMBER(M60),M60/100000,"未单列")),"待填")</x:f>
        <x:v>0</x:v>
      </x:c>
      <x:c r="N18" s="104" t="n">
        <x:f>IFERROR(0+(IF(ISNUMBER(N60),N60/100000,"未单列")),"待填")</x:f>
        <x:v>0</x:v>
      </x:c>
      <x:c r="O18" s="104" t="n">
        <x:f>IFERROR(0+(IF(ISNUMBER(O60),O60/100000,"未单列")),"待填")</x:f>
        <x:v>0</x:v>
      </x:c>
      <x:c r="P18" s="104" t="n">
        <x:f>IFERROR(0+(IF(ISNUMBER(P60),P60/100000,"未单列")),"待填")</x:f>
        <x:v>0</x:v>
      </x:c>
      <x:c r="Q18" s="104" t="n">
        <x:f>IFERROR(0+(IF(ISNUMBER(Q60),Q60/100000,"未单列")),"待填")</x:f>
        <x:v>0</x:v>
      </x:c>
    </x:row>
    <x:row r="19" ht="15.5" customHeight="1">
      <x:c r="A19" s="2" t="str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4" customHeight="1">
      <x:c r="A20" s="96" t="str">
        <x:v>▎一、其他收益拆分（千元）</x:v>
      </x:c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</x:row>
    <x:row r="21" ht="22" customHeight="1">
      <x:c r="A21" s="19" t="str">
        <x:v>项目</x:v>
      </x:c>
      <x:c r="B21" s="103" t="n">
        <x:v>2010</x:v>
      </x:c>
      <x:c r="C21" s="103" t="n">
        <x:v>2011</x:v>
      </x:c>
      <x:c r="D21" s="103" t="n">
        <x:v>2012</x:v>
      </x:c>
      <x:c r="E21" s="103" t="n">
        <x:v>2013</x:v>
      </x:c>
      <x:c r="F21" s="103" t="n">
        <x:v>2014</x:v>
      </x:c>
      <x:c r="G21" s="103" t="n">
        <x:v>2015</x:v>
      </x:c>
      <x:c r="H21" s="103" t="n">
        <x:v>2016</x:v>
      </x:c>
      <x:c r="I21" s="103" t="n">
        <x:v>2017</x:v>
      </x:c>
      <x:c r="J21" s="103" t="n">
        <x:v>2018</x:v>
      </x:c>
      <x:c r="K21" s="103" t="n">
        <x:v>2019</x:v>
      </x:c>
      <x:c r="L21" s="103" t="n">
        <x:v>2020</x:v>
      </x:c>
      <x:c r="M21" s="103" t="n">
        <x:v>2021</x:v>
      </x:c>
      <x:c r="N21" s="103" t="n">
        <x:v>2022</x:v>
      </x:c>
      <x:c r="O21" s="103" t="n">
        <x:v>2023</x:v>
      </x:c>
      <x:c r="P21" s="103" t="n">
        <x:v>2024</x:v>
      </x:c>
      <x:c r="Q21" s="103" t="n">
        <x:v>2025</x:v>
      </x:c>
    </x:row>
    <x:row r="22" ht="15.5" customHeight="1">
      <x:c r="A22" s="2" t="str">
        <x:v>与资产相关政府补助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15.5" customHeight="1">
      <x:c r="A23" s="2" t="str">
        <x:v>与收益相关政府补助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15.5" customHeight="1">
      <x:c r="A24" s="2" t="str">
        <x:v>增值税加计抵减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15.5" customHeight="1">
      <x:c r="A25" s="2" t="str">
        <x:v>个税手续费返还等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15.5" customHeight="1">
      <x:c r="A26" s="38" t="str">
        <x:v>其他收益合计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</x:row>
    <x:row r="27" ht="15.5" customHeight="1">
      <x:c r="A27" s="2" t="str">
        <x:v>政府补助占其他收益比重</x:v>
      </x:c>
      <x:c r="B27" s="85" t="n">
        <x:f>IFERROR(0+(IF(B26=0,0,(B22+B23)/B26)),"待填")</x:f>
        <x:v>0</x:v>
      </x:c>
      <x:c r="C27" s="85" t="n">
        <x:f>IFERROR(0+(IF(C26=0,0,(C22+C23)/C26)),"待填")</x:f>
        <x:v>0</x:v>
      </x:c>
      <x:c r="D27" s="85" t="n">
        <x:f>IFERROR(0+(IF(D26=0,0,(D22+D23)/D26)),"待填")</x:f>
        <x:v>0</x:v>
      </x:c>
      <x:c r="E27" s="85" t="n">
        <x:f>IFERROR(0+(IF(E26=0,0,(E22+E23)/E26)),"待填")</x:f>
        <x:v>0</x:v>
      </x:c>
      <x:c r="F27" s="85" t="n">
        <x:f>IFERROR(0+(IF(F26=0,0,(F22+F23)/F26)),"待填")</x:f>
        <x:v>0</x:v>
      </x:c>
      <x:c r="G27" s="85" t="n">
        <x:f>IFERROR(0+(IF(G26=0,0,(G22+G23)/G26)),"待填")</x:f>
        <x:v>0</x:v>
      </x:c>
      <x:c r="H27" s="85" t="n">
        <x:f>IFERROR(0+(IF(H26=0,0,(H22+H23)/H26)),"待填")</x:f>
        <x:v>0</x:v>
      </x:c>
      <x:c r="I27" s="85" t="n">
        <x:f>IFERROR(0+(IF(I26=0,0,(I22+I23)/I26)),"待填")</x:f>
        <x:v>0</x:v>
      </x:c>
      <x:c r="J27" s="85" t="n">
        <x:f>IFERROR(0+(IF(J26=0,0,(J22+J23)/J26)),"待填")</x:f>
        <x:v>0</x:v>
      </x:c>
      <x:c r="K27" s="85" t="n">
        <x:f>IFERROR(0+(IF(K26=0,0,(K22+K23)/K26)),"待填")</x:f>
        <x:v>0</x:v>
      </x:c>
      <x:c r="L27" s="85" t="n">
        <x:f>IFERROR(0+(IF(L26=0,0,(L22+L23)/L26)),"待填")</x:f>
        <x:v>0</x:v>
      </x:c>
      <x:c r="M27" s="85" t="n">
        <x:f>IFERROR(0+(IF(M26=0,0,(M22+M23)/M26)),"待填")</x:f>
        <x:v>0</x:v>
      </x:c>
      <x:c r="N27" s="85" t="n">
        <x:f>IFERROR(0+(IF(N26=0,0,(N22+N23)/N26)),"待填")</x:f>
        <x:v>0</x:v>
      </x:c>
      <x:c r="O27" s="85" t="n">
        <x:f>IFERROR(0+(IF(O26=0,0,(O22+O23)/O26)),"待填")</x:f>
        <x:v>0</x:v>
      </x:c>
      <x:c r="P27" s="85" t="n">
        <x:f>IFERROR(0+(IF(P26=0,0,(P22+P23)/P26)),"待填")</x:f>
        <x:v>0</x:v>
      </x:c>
      <x:c r="Q27" s="85" t="n">
        <x:f>IFERROR(0+(IF(Q26=0,0,(Q22+Q23)/Q26)),"待填")</x:f>
        <x:v>0</x:v>
      </x:c>
    </x:row>
    <x:row r="28" ht="15.5" customHeight="1">
      <x:c r="A28" s="2" t="str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4" customHeight="1">
      <x:c r="A29" s="96" t="str">
        <x:v>▎二、计入当期损益的政府补助（千元）</x:v>
      </x:c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</x:row>
    <x:row r="30" ht="22" customHeight="1">
      <x:c r="A30" s="19" t="str">
        <x:v>项目</x:v>
      </x:c>
      <x:c r="B30" s="103" t="n">
        <x:v>2010</x:v>
      </x:c>
      <x:c r="C30" s="103" t="n">
        <x:v>2011</x:v>
      </x:c>
      <x:c r="D30" s="103" t="n">
        <x:v>2012</x:v>
      </x:c>
      <x:c r="E30" s="103" t="n">
        <x:v>2013</x:v>
      </x:c>
      <x:c r="F30" s="103" t="n">
        <x:v>2014</x:v>
      </x:c>
      <x:c r="G30" s="103" t="n">
        <x:v>2015</x:v>
      </x:c>
      <x:c r="H30" s="103" t="n">
        <x:v>2016</x:v>
      </x:c>
      <x:c r="I30" s="103" t="n">
        <x:v>2017</x:v>
      </x:c>
      <x:c r="J30" s="103" t="n">
        <x:v>2018</x:v>
      </x:c>
      <x:c r="K30" s="103" t="n">
        <x:v>2019</x:v>
      </x:c>
      <x:c r="L30" s="103" t="n">
        <x:v>2020</x:v>
      </x:c>
      <x:c r="M30" s="103" t="n">
        <x:v>2021</x:v>
      </x:c>
      <x:c r="N30" s="103" t="n">
        <x:v>2022</x:v>
      </x:c>
      <x:c r="O30" s="103" t="n">
        <x:v>2023</x:v>
      </x:c>
      <x:c r="P30" s="103" t="n">
        <x:v>2024</x:v>
      </x:c>
      <x:c r="Q30" s="103" t="n">
        <x:v>2025</x:v>
      </x:c>
    </x:row>
    <x:row r="31" ht="15.5" customHeight="1">
      <x:c r="A31" s="2" t="str">
        <x:v>计入营业外收入的政府补助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15.5" customHeight="1">
      <x:c r="A32" s="2" t="str">
        <x:v>计入其他收益的政府补助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15.5" customHeight="1">
      <x:c r="A33" s="2" t="str">
        <x:v>待补原始来源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15.5" customHeight="1">
      <x:c r="A34" s="38" t="str">
        <x:v>计入损益政府补助合计</x:v>
      </x:c>
      <x:c r="B34" s="41" t="n">
        <x:f>IFERROR(0+(B31+B32+B33),"待填")</x:f>
        <x:v>0</x:v>
      </x:c>
      <x:c r="C34" s="41" t="n">
        <x:f>IFERROR(0+(C31+C32+C33),"待填")</x:f>
        <x:v>0</x:v>
      </x:c>
      <x:c r="D34" s="41" t="n">
        <x:f>IFERROR(0+(D31+D32+D33),"待填")</x:f>
        <x:v>0</x:v>
      </x:c>
      <x:c r="E34" s="41" t="n">
        <x:f>IFERROR(0+(E31+E32+E33),"待填")</x:f>
        <x:v>0</x:v>
      </x:c>
      <x:c r="F34" s="41" t="n">
        <x:f>IFERROR(0+(F31+F32+F33),"待填")</x:f>
        <x:v>0</x:v>
      </x:c>
      <x:c r="G34" s="41" t="n">
        <x:f>IFERROR(0+(G31+G32+G33),"待填")</x:f>
        <x:v>0</x:v>
      </x:c>
      <x:c r="H34" s="41" t="n">
        <x:f>IFERROR(0+(H31+H32+H33),"待填")</x:f>
        <x:v>0</x:v>
      </x:c>
      <x:c r="I34" s="41" t="n">
        <x:f>IFERROR(0+(I31+I32+I33),"待填")</x:f>
        <x:v>0</x:v>
      </x:c>
      <x:c r="J34" s="41" t="n">
        <x:f>IFERROR(0+(J31+J32+J33),"待填")</x:f>
        <x:v>0</x:v>
      </x:c>
      <x:c r="K34" s="41" t="n">
        <x:f>IFERROR(0+(K31+K32+K33),"待填")</x:f>
        <x:v>0</x:v>
      </x:c>
      <x:c r="L34" s="41" t="n">
        <x:f>IFERROR(0+(L31+L32+L33),"待填")</x:f>
        <x:v>0</x:v>
      </x:c>
      <x:c r="M34" s="41" t="n">
        <x:f>IFERROR(0+(M31+M32+M33),"待填")</x:f>
        <x:v>0</x:v>
      </x:c>
      <x:c r="N34" s="41" t="n">
        <x:f>IFERROR(0+(N31+N32+N33),"待填")</x:f>
        <x:v>0</x:v>
      </x:c>
      <x:c r="O34" s="41" t="n">
        <x:f>IFERROR(0+(O31+O32+O33),"待填")</x:f>
        <x:v>0</x:v>
      </x:c>
      <x:c r="P34" s="41" t="n">
        <x:f>IFERROR(0+(P31+P32+P33),"待填")</x:f>
        <x:v>0</x:v>
      </x:c>
      <x:c r="Q34" s="41" t="n">
        <x:f>IFERROR(0+(Q31+Q32+Q33),"待填")</x:f>
        <x:v>0</x:v>
      </x:c>
    </x:row>
    <x:row r="35" ht="15.5" customHeight="1">
      <x:c r="A35" s="2" t="str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4" customHeight="1">
      <x:c r="A36" s="96" t="str">
        <x:v>▎三、政府补助递延收益变动（千元）</x:v>
      </x:c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</x:row>
    <x:row r="37" ht="22" customHeight="1">
      <x:c r="A37" s="19" t="str">
        <x:v>项目</x:v>
      </x:c>
      <x:c r="B37" s="103" t="n">
        <x:v>2010</x:v>
      </x:c>
      <x:c r="C37" s="103" t="n">
        <x:v>2011</x:v>
      </x:c>
      <x:c r="D37" s="103" t="n">
        <x:v>2012</x:v>
      </x:c>
      <x:c r="E37" s="103" t="n">
        <x:v>2013</x:v>
      </x:c>
      <x:c r="F37" s="103" t="n">
        <x:v>2014</x:v>
      </x:c>
      <x:c r="G37" s="103" t="n">
        <x:v>2015</x:v>
      </x:c>
      <x:c r="H37" s="103" t="n">
        <x:v>2016</x:v>
      </x:c>
      <x:c r="I37" s="103" t="n">
        <x:v>2017</x:v>
      </x:c>
      <x:c r="J37" s="103" t="n">
        <x:v>2018</x:v>
      </x:c>
      <x:c r="K37" s="103" t="n">
        <x:v>2019</x:v>
      </x:c>
      <x:c r="L37" s="103" t="n">
        <x:v>2020</x:v>
      </x:c>
      <x:c r="M37" s="103" t="n">
        <x:v>2021</x:v>
      </x:c>
      <x:c r="N37" s="103" t="n">
        <x:v>2022</x:v>
      </x:c>
      <x:c r="O37" s="103" t="n">
        <x:v>2023</x:v>
      </x:c>
      <x:c r="P37" s="103" t="n">
        <x:v>2024</x:v>
      </x:c>
      <x:c r="Q37" s="103" t="n">
        <x:v>2025</x:v>
      </x:c>
    </x:row>
    <x:row r="38" ht="15.5" customHeight="1">
      <x:c r="A38" s="2" t="str">
        <x:v>期初余额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15.5" customHeight="1">
      <x:c r="A39" s="2" t="str">
        <x:v>本年新增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15.5" customHeight="1">
      <x:c r="A40" s="2" t="str">
        <x:v>本年转出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15.5" customHeight="1">
      <x:c r="A41" s="2" t="str">
        <x:v>期末披露余额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15.5" customHeight="1">
      <x:c r="A42" s="29" t="str">
        <x:v>递延收益滚动校验</x:v>
      </x:c>
      <x:c r="B42" s="33" t="str">
        <x:f>IFERROR(0+(IF(ISNUMBER(B41),B38+B39-B40-B41,"n.a.")),"待填")</x:f>
        <x:v>待填</x:v>
      </x:c>
      <x:c r="C42" s="33" t="str">
        <x:f>IFERROR(0+(IF(ISNUMBER(C41),C38+C39-C40-C41,"n.a.")),"待填")</x:f>
        <x:v>待填</x:v>
      </x:c>
      <x:c r="D42" s="33" t="str">
        <x:f>IFERROR(0+(IF(ISNUMBER(D41),D38+D39-D40-D41,"n.a.")),"待填")</x:f>
        <x:v>待填</x:v>
      </x:c>
      <x:c r="E42" s="33" t="str">
        <x:f>IFERROR(0+(IF(ISNUMBER(E41),E38+E39-E40-E41,"n.a.")),"待填")</x:f>
        <x:v>待填</x:v>
      </x:c>
      <x:c r="F42" s="33" t="str">
        <x:f>IFERROR(0+(IF(ISNUMBER(F41),F38+F39-F40-F41,"n.a.")),"待填")</x:f>
        <x:v>待填</x:v>
      </x:c>
      <x:c r="G42" s="33" t="str">
        <x:f>IFERROR(0+(IF(ISNUMBER(G41),G38+G39-G40-G41,"n.a.")),"待填")</x:f>
        <x:v>待填</x:v>
      </x:c>
      <x:c r="H42" s="33" t="str">
        <x:f>IFERROR(0+(IF(ISNUMBER(H41),H38+H39-H40-H41,"n.a.")),"待填")</x:f>
        <x:v>待填</x:v>
      </x:c>
      <x:c r="I42" s="33" t="str">
        <x:f>IFERROR(0+(IF(ISNUMBER(I41),I38+I39-I40-I41,"n.a.")),"待填")</x:f>
        <x:v>待填</x:v>
      </x:c>
      <x:c r="J42" s="33" t="str">
        <x:f>IFERROR(0+(IF(ISNUMBER(J41),J38+J39-J40-J41,"n.a.")),"待填")</x:f>
        <x:v>待填</x:v>
      </x:c>
      <x:c r="K42" s="33" t="str">
        <x:f>IFERROR(0+(IF(ISNUMBER(K41),K38+K39-K40-K41,"n.a.")),"待填")</x:f>
        <x:v>待填</x:v>
      </x:c>
      <x:c r="L42" s="33" t="str">
        <x:f>IFERROR(0+(IF(ISNUMBER(L41),L38+L39-L40-L41,"n.a.")),"待填")</x:f>
        <x:v>待填</x:v>
      </x:c>
      <x:c r="M42" s="33" t="str">
        <x:f>IFERROR(0+(IF(ISNUMBER(M41),M38+M39-M40-M41,"n.a.")),"待填")</x:f>
        <x:v>待填</x:v>
      </x:c>
      <x:c r="N42" s="33" t="str">
        <x:f>IFERROR(0+(IF(ISNUMBER(N41),N38+N39-N40-N41,"n.a.")),"待填")</x:f>
        <x:v>待填</x:v>
      </x:c>
      <x:c r="O42" s="33" t="str">
        <x:f>IFERROR(0+(IF(ISNUMBER(O41),O38+O39-O40-O41,"n.a.")),"待填")</x:f>
        <x:v>待填</x:v>
      </x:c>
      <x:c r="P42" s="33" t="str">
        <x:f>IFERROR(0+(IF(ISNUMBER(P41),P38+P39-P40-P41,"n.a.")),"待填")</x:f>
        <x:v>待填</x:v>
      </x:c>
      <x:c r="Q42" s="33" t="str">
        <x:f>IFERROR(0+(IF(ISNUMBER(Q41),Q38+Q39-Q40-Q41,"n.a.")),"待填")</x:f>
        <x:v>待填</x:v>
      </x:c>
    </x:row>
    <x:row r="43" ht="15.5" customHeight="1">
      <x:c r="A43" s="2" t="str">
        <x:v>转出 / 期初余额</x:v>
      </x:c>
      <x:c r="B43" s="85" t="str">
        <x:f>IFERROR(0+(IF(ISNUMBER(B38),IF(B38=0,0,B40/B38),"n.a.")),"待填")</x:f>
        <x:v>待填</x:v>
      </x:c>
      <x:c r="C43" s="85" t="str">
        <x:f>IFERROR(0+(IF(ISNUMBER(C38),IF(C38=0,0,C40/C38),"n.a.")),"待填")</x:f>
        <x:v>待填</x:v>
      </x:c>
      <x:c r="D43" s="85" t="str">
        <x:f>IFERROR(0+(IF(ISNUMBER(D38),IF(D38=0,0,D40/D38),"n.a.")),"待填")</x:f>
        <x:v>待填</x:v>
      </x:c>
      <x:c r="E43" s="85" t="str">
        <x:f>IFERROR(0+(IF(ISNUMBER(E38),IF(E38=0,0,E40/E38),"n.a.")),"待填")</x:f>
        <x:v>待填</x:v>
      </x:c>
      <x:c r="F43" s="85" t="str">
        <x:f>IFERROR(0+(IF(ISNUMBER(F38),IF(F38=0,0,F40/F38),"n.a.")),"待填")</x:f>
        <x:v>待填</x:v>
      </x:c>
      <x:c r="G43" s="85" t="str">
        <x:f>IFERROR(0+(IF(ISNUMBER(G38),IF(G38=0,0,G40/G38),"n.a.")),"待填")</x:f>
        <x:v>待填</x:v>
      </x:c>
      <x:c r="H43" s="85" t="str">
        <x:f>IFERROR(0+(IF(ISNUMBER(H38),IF(H38=0,0,H40/H38),"n.a.")),"待填")</x:f>
        <x:v>待填</x:v>
      </x:c>
      <x:c r="I43" s="85" t="str">
        <x:f>IFERROR(0+(IF(ISNUMBER(I38),IF(I38=0,0,I40/I38),"n.a.")),"待填")</x:f>
        <x:v>待填</x:v>
      </x:c>
      <x:c r="J43" s="85" t="str">
        <x:f>IFERROR(0+(IF(ISNUMBER(J38),IF(J38=0,0,J40/J38),"n.a.")),"待填")</x:f>
        <x:v>待填</x:v>
      </x:c>
      <x:c r="K43" s="85" t="str">
        <x:f>IFERROR(0+(IF(ISNUMBER(K38),IF(K38=0,0,K40/K38),"n.a.")),"待填")</x:f>
        <x:v>待填</x:v>
      </x:c>
      <x:c r="L43" s="85" t="str">
        <x:f>IFERROR(0+(IF(ISNUMBER(L38),IF(L38=0,0,L40/L38),"n.a.")),"待填")</x:f>
        <x:v>待填</x:v>
      </x:c>
      <x:c r="M43" s="85" t="str">
        <x:f>IFERROR(0+(IF(ISNUMBER(M38),IF(M38=0,0,M40/M38),"n.a.")),"待填")</x:f>
        <x:v>待填</x:v>
      </x:c>
      <x:c r="N43" s="85" t="str">
        <x:f>IFERROR(0+(IF(ISNUMBER(N38),IF(N38=0,0,N40/N38),"n.a.")),"待填")</x:f>
        <x:v>待填</x:v>
      </x:c>
      <x:c r="O43" s="85" t="str">
        <x:f>IFERROR(0+(IF(ISNUMBER(O38),IF(O38=0,0,O40/O38),"n.a.")),"待填")</x:f>
        <x:v>待填</x:v>
      </x:c>
      <x:c r="P43" s="85" t="str">
        <x:f>IFERROR(0+(IF(ISNUMBER(P38),IF(P38=0,0,P40/P38),"n.a.")),"待填")</x:f>
        <x:v>待填</x:v>
      </x:c>
      <x:c r="Q43" s="85" t="str">
        <x:f>IFERROR(0+(IF(ISNUMBER(Q38),IF(Q38=0,0,Q40/Q38),"n.a.")),"待填")</x:f>
        <x:v>待填</x:v>
      </x:c>
    </x:row>
    <x:row r="44" ht="15.5" customHeight="1">
      <x:c r="A44" s="2" t="str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4" customHeight="1">
      <x:c r="A45" s="96" t="str">
        <x:v>▎四、非经常性损益中的政府补助（千元）</x:v>
      </x:c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</x:row>
    <x:row r="46" ht="22" customHeight="1">
      <x:c r="A46" s="19" t="str">
        <x:v>项目</x:v>
      </x:c>
      <x:c r="B46" s="103" t="n">
        <x:v>2010</x:v>
      </x:c>
      <x:c r="C46" s="103" t="n">
        <x:v>2011</x:v>
      </x:c>
      <x:c r="D46" s="103" t="n">
        <x:v>2012</x:v>
      </x:c>
      <x:c r="E46" s="103" t="n">
        <x:v>2013</x:v>
      </x:c>
      <x:c r="F46" s="103" t="n">
        <x:v>2014</x:v>
      </x:c>
      <x:c r="G46" s="103" t="n">
        <x:v>2015</x:v>
      </x:c>
      <x:c r="H46" s="103" t="n">
        <x:v>2016</x:v>
      </x:c>
      <x:c r="I46" s="103" t="n">
        <x:v>2017</x:v>
      </x:c>
      <x:c r="J46" s="103" t="n">
        <x:v>2018</x:v>
      </x:c>
      <x:c r="K46" s="103" t="n">
        <x:v>2019</x:v>
      </x:c>
      <x:c r="L46" s="103" t="n">
        <x:v>2020</x:v>
      </x:c>
      <x:c r="M46" s="103" t="n">
        <x:v>2021</x:v>
      </x:c>
      <x:c r="N46" s="103" t="n">
        <x:v>2022</x:v>
      </x:c>
      <x:c r="O46" s="103" t="n">
        <x:v>2023</x:v>
      </x:c>
      <x:c r="P46" s="103" t="n">
        <x:v>2024</x:v>
      </x:c>
      <x:c r="Q46" s="103" t="n">
        <x:v>2025</x:v>
      </x:c>
    </x:row>
    <x:row r="47" ht="15.5" customHeight="1">
      <x:c r="A47" s="2" t="str">
        <x:v>非经常性损益附注中的政府补助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15.5" customHeight="1">
      <x:c r="A48" s="2" t="str">
        <x:v>经常性补助（总额减非经常性）</x:v>
      </x:c>
      <x:c r="B48" s="4" t="n">
        <x:f>IFERROR(0+(B34-B47),"待填")</x:f>
        <x:v>0</x:v>
      </x:c>
      <x:c r="C48" s="4" t="n">
        <x:f>IFERROR(0+(C34-C47),"待填")</x:f>
        <x:v>0</x:v>
      </x:c>
      <x:c r="D48" s="4" t="n">
        <x:f>IFERROR(0+(D34-D47),"待填")</x:f>
        <x:v>0</x:v>
      </x:c>
      <x:c r="E48" s="4" t="n">
        <x:f>IFERROR(0+(E34-E47),"待填")</x:f>
        <x:v>0</x:v>
      </x:c>
      <x:c r="F48" s="4" t="n">
        <x:f>IFERROR(0+(F34-F47),"待填")</x:f>
        <x:v>0</x:v>
      </x:c>
      <x:c r="G48" s="4" t="n">
        <x:f>IFERROR(0+(G34-G47),"待填")</x:f>
        <x:v>0</x:v>
      </x:c>
      <x:c r="H48" s="4" t="n">
        <x:f>IFERROR(0+(H34-H47),"待填")</x:f>
        <x:v>0</x:v>
      </x:c>
      <x:c r="I48" s="4" t="n">
        <x:f>IFERROR(0+(I34-I47),"待填")</x:f>
        <x:v>0</x:v>
      </x:c>
      <x:c r="J48" s="4" t="n">
        <x:f>IFERROR(0+(J34-J47),"待填")</x:f>
        <x:v>0</x:v>
      </x:c>
      <x:c r="K48" s="4" t="n">
        <x:f>IFERROR(0+(K34-K47),"待填")</x:f>
        <x:v>0</x:v>
      </x:c>
      <x:c r="L48" s="4" t="n">
        <x:f>IFERROR(0+(L34-L47),"待填")</x:f>
        <x:v>0</x:v>
      </x:c>
      <x:c r="M48" s="4" t="n">
        <x:f>IFERROR(0+(M34-M47),"待填")</x:f>
        <x:v>0</x:v>
      </x:c>
      <x:c r="N48" s="4" t="n">
        <x:f>IFERROR(0+(N34-N47),"待填")</x:f>
        <x:v>0</x:v>
      </x:c>
      <x:c r="O48" s="4" t="n">
        <x:f>IFERROR(0+(O34-O47),"待填")</x:f>
        <x:v>0</x:v>
      </x:c>
      <x:c r="P48" s="4" t="n">
        <x:f>IFERROR(0+(P34-P47),"待填")</x:f>
        <x:v>0</x:v>
      </x:c>
      <x:c r="Q48" s="4" t="n">
        <x:f>IFERROR(0+(Q34-Q47),"待填")</x:f>
        <x:v>0</x:v>
      </x:c>
    </x:row>
    <x:row r="49" ht="15.5" customHeight="1">
      <x:c r="A49" s="38" t="str">
        <x:v>计入当期损益合计</x:v>
      </x:c>
      <x:c r="B49" s="41" t="n">
        <x:f>IFERROR(0+(B34),"待填")</x:f>
        <x:v>0</x:v>
      </x:c>
      <x:c r="C49" s="41" t="n">
        <x:f>IFERROR(0+(C34),"待填")</x:f>
        <x:v>0</x:v>
      </x:c>
      <x:c r="D49" s="41" t="n">
        <x:f>IFERROR(0+(D34),"待填")</x:f>
        <x:v>0</x:v>
      </x:c>
      <x:c r="E49" s="41" t="n">
        <x:f>IFERROR(0+(E34),"待填")</x:f>
        <x:v>0</x:v>
      </x:c>
      <x:c r="F49" s="41" t="n">
        <x:f>IFERROR(0+(F34),"待填")</x:f>
        <x:v>0</x:v>
      </x:c>
      <x:c r="G49" s="41" t="n">
        <x:f>IFERROR(0+(G34),"待填")</x:f>
        <x:v>0</x:v>
      </x:c>
      <x:c r="H49" s="41" t="n">
        <x:f>IFERROR(0+(H34),"待填")</x:f>
        <x:v>0</x:v>
      </x:c>
      <x:c r="I49" s="41" t="n">
        <x:f>IFERROR(0+(I34),"待填")</x:f>
        <x:v>0</x:v>
      </x:c>
      <x:c r="J49" s="41" t="n">
        <x:f>IFERROR(0+(J34),"待填")</x:f>
        <x:v>0</x:v>
      </x:c>
      <x:c r="K49" s="41" t="n">
        <x:f>IFERROR(0+(K34),"待填")</x:f>
        <x:v>0</x:v>
      </x:c>
      <x:c r="L49" s="41" t="n">
        <x:f>IFERROR(0+(L34),"待填")</x:f>
        <x:v>0</x:v>
      </x:c>
      <x:c r="M49" s="41" t="n">
        <x:f>IFERROR(0+(M34),"待填")</x:f>
        <x:v>0</x:v>
      </x:c>
      <x:c r="N49" s="41" t="n">
        <x:f>IFERROR(0+(N34),"待填")</x:f>
        <x:v>0</x:v>
      </x:c>
      <x:c r="O49" s="41" t="n">
        <x:f>IFERROR(0+(O34),"待填")</x:f>
        <x:v>0</x:v>
      </x:c>
      <x:c r="P49" s="41" t="n">
        <x:f>IFERROR(0+(P34),"待填")</x:f>
        <x:v>0</x:v>
      </x:c>
      <x:c r="Q49" s="41" t="n">
        <x:f>IFERROR(0+(Q34),"待填")</x:f>
        <x:v>0</x:v>
      </x:c>
    </x:row>
    <x:row r="50" ht="15.5" customHeight="1">
      <x:c r="A50" s="2" t="str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4" customHeight="1">
      <x:c r="A51" s="96" t="str">
        <x:v>▎五、增值税加计抵减等（千元）</x:v>
      </x:c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</x:row>
    <x:row r="52" ht="22" customHeight="1">
      <x:c r="A52" s="19" t="str">
        <x:v>项目</x:v>
      </x:c>
      <x:c r="B52" s="103" t="n">
        <x:v>2010</x:v>
      </x:c>
      <x:c r="C52" s="103" t="n">
        <x:v>2011</x:v>
      </x:c>
      <x:c r="D52" s="103" t="n">
        <x:v>2012</x:v>
      </x:c>
      <x:c r="E52" s="103" t="n">
        <x:v>2013</x:v>
      </x:c>
      <x:c r="F52" s="103" t="n">
        <x:v>2014</x:v>
      </x:c>
      <x:c r="G52" s="103" t="n">
        <x:v>2015</x:v>
      </x:c>
      <x:c r="H52" s="103" t="n">
        <x:v>2016</x:v>
      </x:c>
      <x:c r="I52" s="103" t="n">
        <x:v>2017</x:v>
      </x:c>
      <x:c r="J52" s="103" t="n">
        <x:v>2018</x:v>
      </x:c>
      <x:c r="K52" s="103" t="n">
        <x:v>2019</x:v>
      </x:c>
      <x:c r="L52" s="103" t="n">
        <x:v>2020</x:v>
      </x:c>
      <x:c r="M52" s="103" t="n">
        <x:v>2021</x:v>
      </x:c>
      <x:c r="N52" s="103" t="n">
        <x:v>2022</x:v>
      </x:c>
      <x:c r="O52" s="103" t="n">
        <x:v>2023</x:v>
      </x:c>
      <x:c r="P52" s="103" t="n">
        <x:v>2024</x:v>
      </x:c>
      <x:c r="Q52" s="103" t="n">
        <x:v>2025</x:v>
      </x:c>
    </x:row>
    <x:row r="53" ht="15.5" customHeight="1">
      <x:c r="A53" s="2" t="str">
        <x:v>增值税加计抵减</x:v>
      </x:c>
      <x:c r="B53" s="4" t="n">
        <x:f>IFERROR(0+(B24),"待填")</x:f>
        <x:v>0</x:v>
      </x:c>
      <x:c r="C53" s="4" t="n">
        <x:f>IFERROR(0+(C24),"待填")</x:f>
        <x:v>0</x:v>
      </x:c>
      <x:c r="D53" s="4" t="n">
        <x:f>IFERROR(0+(D24),"待填")</x:f>
        <x:v>0</x:v>
      </x:c>
      <x:c r="E53" s="4" t="n">
        <x:f>IFERROR(0+(E24),"待填")</x:f>
        <x:v>0</x:v>
      </x:c>
      <x:c r="F53" s="4" t="n">
        <x:f>IFERROR(0+(F24),"待填")</x:f>
        <x:v>0</x:v>
      </x:c>
      <x:c r="G53" s="4" t="n">
        <x:f>IFERROR(0+(G24),"待填")</x:f>
        <x:v>0</x:v>
      </x:c>
      <x:c r="H53" s="4" t="n">
        <x:f>IFERROR(0+(H24),"待填")</x:f>
        <x:v>0</x:v>
      </x:c>
      <x:c r="I53" s="4" t="n">
        <x:f>IFERROR(0+(I24),"待填")</x:f>
        <x:v>0</x:v>
      </x:c>
      <x:c r="J53" s="4" t="n">
        <x:f>IFERROR(0+(J24),"待填")</x:f>
        <x:v>0</x:v>
      </x:c>
      <x:c r="K53" s="4" t="n">
        <x:f>IFERROR(0+(K24),"待填")</x:f>
        <x:v>0</x:v>
      </x:c>
      <x:c r="L53" s="4" t="n">
        <x:f>IFERROR(0+(L24),"待填")</x:f>
        <x:v>0</x:v>
      </x:c>
      <x:c r="M53" s="4" t="n">
        <x:f>IFERROR(0+(M24),"待填")</x:f>
        <x:v>0</x:v>
      </x:c>
      <x:c r="N53" s="4" t="n">
        <x:f>IFERROR(0+(N24),"待填")</x:f>
        <x:v>0</x:v>
      </x:c>
      <x:c r="O53" s="4" t="n">
        <x:f>IFERROR(0+(O24),"待填")</x:f>
        <x:v>0</x:v>
      </x:c>
      <x:c r="P53" s="4" t="n">
        <x:f>IFERROR(0+(P24),"待填")</x:f>
        <x:v>0</x:v>
      </x:c>
      <x:c r="Q53" s="4" t="n">
        <x:f>IFERROR(0+(Q24),"待填")</x:f>
        <x:v>0</x:v>
      </x:c>
    </x:row>
    <x:row r="54" ht="15.5" customHeight="1">
      <x:c r="A54" s="2" t="str">
        <x:v>个税手续费返还等</x:v>
      </x:c>
      <x:c r="B54" s="4" t="n">
        <x:f>IFERROR(0+(B25),"待填")</x:f>
        <x:v>0</x:v>
      </x:c>
      <x:c r="C54" s="4" t="n">
        <x:f>IFERROR(0+(C25),"待填")</x:f>
        <x:v>0</x:v>
      </x:c>
      <x:c r="D54" s="4" t="n">
        <x:f>IFERROR(0+(D25),"待填")</x:f>
        <x:v>0</x:v>
      </x:c>
      <x:c r="E54" s="4" t="n">
        <x:f>IFERROR(0+(E25),"待填")</x:f>
        <x:v>0</x:v>
      </x:c>
      <x:c r="F54" s="4" t="n">
        <x:f>IFERROR(0+(F25),"待填")</x:f>
        <x:v>0</x:v>
      </x:c>
      <x:c r="G54" s="4" t="n">
        <x:f>IFERROR(0+(G25),"待填")</x:f>
        <x:v>0</x:v>
      </x:c>
      <x:c r="H54" s="4" t="n">
        <x:f>IFERROR(0+(H25),"待填")</x:f>
        <x:v>0</x:v>
      </x:c>
      <x:c r="I54" s="4" t="n">
        <x:f>IFERROR(0+(I25),"待填")</x:f>
        <x:v>0</x:v>
      </x:c>
      <x:c r="J54" s="4" t="n">
        <x:f>IFERROR(0+(J25),"待填")</x:f>
        <x:v>0</x:v>
      </x:c>
      <x:c r="K54" s="4" t="n">
        <x:f>IFERROR(0+(K25),"待填")</x:f>
        <x:v>0</x:v>
      </x:c>
      <x:c r="L54" s="4" t="n">
        <x:f>IFERROR(0+(L25),"待填")</x:f>
        <x:v>0</x:v>
      </x:c>
      <x:c r="M54" s="4" t="n">
        <x:f>IFERROR(0+(M25),"待填")</x:f>
        <x:v>0</x:v>
      </x:c>
      <x:c r="N54" s="4" t="n">
        <x:f>IFERROR(0+(N25),"待填")</x:f>
        <x:v>0</x:v>
      </x:c>
      <x:c r="O54" s="4" t="n">
        <x:f>IFERROR(0+(O25),"待填")</x:f>
        <x:v>0</x:v>
      </x:c>
      <x:c r="P54" s="4" t="n">
        <x:f>IFERROR(0+(P25),"待填")</x:f>
        <x:v>0</x:v>
      </x:c>
      <x:c r="Q54" s="4" t="n">
        <x:f>IFERROR(0+(Q25),"待填")</x:f>
        <x:v>0</x:v>
      </x:c>
    </x:row>
    <x:row r="55" ht="15.5" customHeight="1">
      <x:c r="A55" s="2" t="str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4" customHeight="1">
      <x:c r="A56" s="96" t="str">
        <x:v>▎六、政府补助现金流口径（千元）</x:v>
      </x:c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</x:row>
    <x:row r="57" ht="22" customHeight="1">
      <x:c r="A57" s="19" t="str">
        <x:v>项目</x:v>
      </x:c>
      <x:c r="B57" s="103" t="n">
        <x:v>2010</x:v>
      </x:c>
      <x:c r="C57" s="103" t="n">
        <x:v>2011</x:v>
      </x:c>
      <x:c r="D57" s="103" t="n">
        <x:v>2012</x:v>
      </x:c>
      <x:c r="E57" s="103" t="n">
        <x:v>2013</x:v>
      </x:c>
      <x:c r="F57" s="103" t="n">
        <x:v>2014</x:v>
      </x:c>
      <x:c r="G57" s="103" t="n">
        <x:v>2015</x:v>
      </x:c>
      <x:c r="H57" s="103" t="n">
        <x:v>2016</x:v>
      </x:c>
      <x:c r="I57" s="103" t="n">
        <x:v>2017</x:v>
      </x:c>
      <x:c r="J57" s="103" t="n">
        <x:v>2018</x:v>
      </x:c>
      <x:c r="K57" s="103" t="n">
        <x:v>2019</x:v>
      </x:c>
      <x:c r="L57" s="103" t="n">
        <x:v>2020</x:v>
      </x:c>
      <x:c r="M57" s="103" t="n">
        <x:v>2021</x:v>
      </x:c>
      <x:c r="N57" s="103" t="n">
        <x:v>2022</x:v>
      </x:c>
      <x:c r="O57" s="103" t="n">
        <x:v>2023</x:v>
      </x:c>
      <x:c r="P57" s="103" t="n">
        <x:v>2024</x:v>
      </x:c>
      <x:c r="Q57" s="103" t="n">
        <x:v>2025</x:v>
      </x:c>
    </x:row>
    <x:row r="58" ht="15.5" customHeight="1">
      <x:c r="A58" s="2" t="str">
        <x:v>经营活动：收到政府补助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15.5" customHeight="1">
      <x:c r="A59" s="2" t="str">
        <x:v>投资活动：收到资产性政府补助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15.5" customHeight="1">
      <x:c r="A60" s="2" t="str">
        <x:v>已披露政府补助现金合计</x:v>
      </x:c>
      <x:c r="B60" s="4" t="n">
        <x:f>IFERROR(0+(B58+B59),"待填")</x:f>
        <x:v>0</x:v>
      </x:c>
      <x:c r="C60" s="4" t="n">
        <x:f>IFERROR(0+(C58+C59),"待填")</x:f>
        <x:v>0</x:v>
      </x:c>
      <x:c r="D60" s="4" t="n">
        <x:f>IFERROR(0+(D58+D59),"待填")</x:f>
        <x:v>0</x:v>
      </x:c>
      <x:c r="E60" s="4" t="n">
        <x:f>IFERROR(0+(E58+E59),"待填")</x:f>
        <x:v>0</x:v>
      </x:c>
      <x:c r="F60" s="4" t="n">
        <x:f>IFERROR(0+(F58+F59),"待填")</x:f>
        <x:v>0</x:v>
      </x:c>
      <x:c r="G60" s="4" t="n">
        <x:f>IFERROR(0+(G58+G59),"待填")</x:f>
        <x:v>0</x:v>
      </x:c>
      <x:c r="H60" s="4" t="n">
        <x:f>IFERROR(0+(H58+H59),"待填")</x:f>
        <x:v>0</x:v>
      </x:c>
      <x:c r="I60" s="4" t="n">
        <x:f>IFERROR(0+(I58+I59),"待填")</x:f>
        <x:v>0</x:v>
      </x:c>
      <x:c r="J60" s="4" t="n">
        <x:f>IFERROR(0+(J58+J59),"待填")</x:f>
        <x:v>0</x:v>
      </x:c>
      <x:c r="K60" s="4" t="n">
        <x:f>IFERROR(0+(K58+K59),"待填")</x:f>
        <x:v>0</x:v>
      </x:c>
      <x:c r="L60" s="4" t="n">
        <x:f>IFERROR(0+(L58+L59),"待填")</x:f>
        <x:v>0</x:v>
      </x:c>
      <x:c r="M60" s="4" t="n">
        <x:f>IFERROR(0+(M58+M59),"待填")</x:f>
        <x:v>0</x:v>
      </x:c>
      <x:c r="N60" s="4" t="n">
        <x:f>IFERROR(0+(N58+N59),"待填")</x:f>
        <x:v>0</x:v>
      </x:c>
      <x:c r="O60" s="4" t="n">
        <x:f>IFERROR(0+(O58+O59),"待填")</x:f>
        <x:v>0</x:v>
      </x:c>
      <x:c r="P60" s="4" t="n">
        <x:f>IFERROR(0+(P58+P59),"待填")</x:f>
        <x:v>0</x:v>
      </x:c>
      <x:c r="Q60" s="4" t="n">
        <x:f>IFERROR(0+(Q58+Q59),"待填")</x:f>
        <x:v>0</x:v>
      </x:c>
    </x:row>
    <x:row r="61" ht="15.5" customHeight="1">
      <x:c r="A61" s="2" t="str">
        <x:v>现金收到 / 计入损益</x:v>
      </x:c>
      <x:c r="B61" s="85" t="str">
        <x:f>IFERROR(0+(IF(B34=0,"n.a.",B60/B34)),"待填")</x:f>
        <x:v>待填</x:v>
      </x:c>
      <x:c r="C61" s="85" t="str">
        <x:f>IFERROR(0+(IF(C34=0,"n.a.",C60/C34)),"待填")</x:f>
        <x:v>待填</x:v>
      </x:c>
      <x:c r="D61" s="85" t="str">
        <x:f>IFERROR(0+(IF(D34=0,"n.a.",D60/D34)),"待填")</x:f>
        <x:v>待填</x:v>
      </x:c>
      <x:c r="E61" s="85" t="str">
        <x:f>IFERROR(0+(IF(E34=0,"n.a.",E60/E34)),"待填")</x:f>
        <x:v>待填</x:v>
      </x:c>
      <x:c r="F61" s="85" t="str">
        <x:f>IFERROR(0+(IF(F34=0,"n.a.",F60/F34)),"待填")</x:f>
        <x:v>待填</x:v>
      </x:c>
      <x:c r="G61" s="85" t="str">
        <x:f>IFERROR(0+(IF(G34=0,"n.a.",G60/G34)),"待填")</x:f>
        <x:v>待填</x:v>
      </x:c>
      <x:c r="H61" s="85" t="str">
        <x:f>IFERROR(0+(IF(H34=0,"n.a.",H60/H34)),"待填")</x:f>
        <x:v>待填</x:v>
      </x:c>
      <x:c r="I61" s="85" t="str">
        <x:f>IFERROR(0+(IF(I34=0,"n.a.",I60/I34)),"待填")</x:f>
        <x:v>待填</x:v>
      </x:c>
      <x:c r="J61" s="85" t="str">
        <x:f>IFERROR(0+(IF(J34=0,"n.a.",J60/J34)),"待填")</x:f>
        <x:v>待填</x:v>
      </x:c>
      <x:c r="K61" s="85" t="str">
        <x:f>IFERROR(0+(IF(K34=0,"n.a.",K60/K34)),"待填")</x:f>
        <x:v>待填</x:v>
      </x:c>
      <x:c r="L61" s="85" t="str">
        <x:f>IFERROR(0+(IF(L34=0,"n.a.",L60/L34)),"待填")</x:f>
        <x:v>待填</x:v>
      </x:c>
      <x:c r="M61" s="85" t="str">
        <x:f>IFERROR(0+(IF(M34=0,"n.a.",M60/M34)),"待填")</x:f>
        <x:v>待填</x:v>
      </x:c>
      <x:c r="N61" s="85" t="str">
        <x:f>IFERROR(0+(IF(N34=0,"n.a.",N60/N34)),"待填")</x:f>
        <x:v>待填</x:v>
      </x:c>
      <x:c r="O61" s="85" t="str">
        <x:f>IFERROR(0+(IF(O34=0,"n.a.",O60/O34)),"待填")</x:f>
        <x:v>待填</x:v>
      </x:c>
      <x:c r="P61" s="85" t="str">
        <x:f>IFERROR(0+(IF(P34=0,"n.a.",P60/P34)),"待填")</x:f>
        <x:v>待填</x:v>
      </x:c>
      <x:c r="Q61" s="85" t="str">
        <x:f>IFERROR(0+(IF(Q34=0,"n.a.",Q60/Q34)),"待填")</x:f>
        <x:v>待填</x:v>
      </x:c>
    </x:row>
    <x:row r="62" ht="25" customHeight="1">
      <x:c r="A62" s="35" t="str">
        <x:v>【待补说明】填写该公司的口径、特殊事项和预测假设。</x:v>
      </x:c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</x:row>
    <x:row r="63" ht="25" customHeight="1">
      <x:c r="A63" s="35" t="str">
        <x:v>【待补说明】填写该公司的口径、特殊事项和预测假设。</x:v>
      </x:c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</x:row>
    <x:row r="64" ht="25" customHeight="1">
      <x:c r="A64" s="35" t="str">
        <x:v>【待补说明】填写该公司的口径、特殊事项和预测假设。</x:v>
      </x:c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</x:row>
  </x:sheetData>
  <x:mergeCells>
    <x:mergeCell ref="A1:Q1"/>
    <x:mergeCell ref="A2:Q2"/>
    <x:mergeCell ref="A4:Q4"/>
    <x:mergeCell ref="A20:Q20"/>
    <x:mergeCell ref="A29:Q29"/>
    <x:mergeCell ref="A36:Q36"/>
    <x:mergeCell ref="A45:Q45"/>
    <x:mergeCell ref="A51:Q51"/>
    <x:mergeCell ref="A56:Q56"/>
    <x:mergeCell ref="A62:Q62"/>
    <x:mergeCell ref="A63:Q63"/>
    <x:mergeCell ref="A64:Q64"/>
  </x:mergeCells>
  <x:conditionalFormatting sqref="B42:Q42">
    <x:cfRule type="expression" dxfId="61" priority="1">
      <x:formula>AND(ISNUMBER(B42),ABS(B42)&gt;0.02)</x:formula>
    </x:cfRule>
  </x:conditionalFormatting>
  <x:pageMargins left="0.7" right="0.7" top="0.75" bottom="0.75" header="0.3" footer="0.3"/>
</x:worksheet>
</file>